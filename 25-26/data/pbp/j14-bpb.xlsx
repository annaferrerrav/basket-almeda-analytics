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ospitalclinicdebarcelona-my.sharepoint.com/personal/aferrerr_clinic_cat/Documents/Escritorio/LF2 - 2025-56/LF2/"/>
    </mc:Choice>
  </mc:AlternateContent>
  <xr:revisionPtr revIDLastSave="2130" documentId="8_{69A65BB7-15A7-4F2C-94F0-3D001CF6D277}" xr6:coauthVersionLast="47" xr6:coauthVersionMax="47" xr10:uidLastSave="{4FCF0A1F-6150-4DD5-BAE4-2AA1C5ABDCCF}"/>
  <bookViews>
    <workbookView xWindow="-105" yWindow="0" windowWidth="14610" windowHeight="15585" xr2:uid="{2F001749-FD8A-442A-92C1-110CD0EC477C}"/>
  </bookViews>
  <sheets>
    <sheet name="Hoja1" sheetId="1" r:id="rId1"/>
    <sheet name="Hoja2" sheetId="2" r:id="rId2"/>
  </sheets>
  <definedNames>
    <definedName name="_xlnm._FilterDatabase" localSheetId="0" hidden="1">Hoja1!$A$1:$AB$96</definedName>
    <definedName name="_xlnm._FilterDatabase" localSheetId="1" hidden="1">Hoja2!$A$1:$G$98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7" i="1" l="1"/>
  <c r="S28" i="1" s="1"/>
  <c r="S29" i="1" s="1"/>
  <c r="S24" i="1"/>
  <c r="U24" i="1" s="1"/>
  <c r="T24" i="1"/>
  <c r="S25" i="1"/>
  <c r="U25" i="1" s="1"/>
  <c r="T25" i="1"/>
  <c r="T26" i="1" s="1"/>
  <c r="T27" i="1" s="1"/>
  <c r="T28" i="1" s="1"/>
  <c r="T29" i="1" s="1"/>
  <c r="T30" i="1" s="1"/>
  <c r="T31" i="1" s="1"/>
  <c r="T32" i="1" s="1"/>
  <c r="T33" i="1" s="1"/>
  <c r="T34" i="1" s="1"/>
  <c r="T35" i="1" s="1"/>
  <c r="T36" i="1" s="1"/>
  <c r="T37" i="1" s="1"/>
  <c r="T38" i="1" s="1"/>
  <c r="T39" i="1" s="1"/>
  <c r="T40" i="1" s="1"/>
  <c r="T41" i="1" s="1"/>
  <c r="T42" i="1" s="1"/>
  <c r="T43" i="1" s="1"/>
  <c r="T44" i="1" s="1"/>
  <c r="T45" i="1" s="1"/>
  <c r="T46" i="1" s="1"/>
  <c r="T47" i="1" s="1"/>
  <c r="T48" i="1" s="1"/>
  <c r="T49" i="1" s="1"/>
  <c r="T50" i="1" s="1"/>
  <c r="T51" i="1" s="1"/>
  <c r="T52" i="1" s="1"/>
  <c r="T53" i="1" s="1"/>
  <c r="T54" i="1" s="1"/>
  <c r="T55" i="1" s="1"/>
  <c r="T56" i="1" s="1"/>
  <c r="T57" i="1" s="1"/>
  <c r="T58" i="1" s="1"/>
  <c r="T59" i="1" s="1"/>
  <c r="T60" i="1" s="1"/>
  <c r="T61" i="1" s="1"/>
  <c r="T62" i="1" s="1"/>
  <c r="T63" i="1" s="1"/>
  <c r="T64" i="1" s="1"/>
  <c r="T65" i="1" s="1"/>
  <c r="T66" i="1" s="1"/>
  <c r="T67" i="1" s="1"/>
  <c r="T68" i="1" s="1"/>
  <c r="T69" i="1" s="1"/>
  <c r="T70" i="1" s="1"/>
  <c r="T71" i="1" s="1"/>
  <c r="T72" i="1" s="1"/>
  <c r="T73" i="1" s="1"/>
  <c r="T74" i="1" s="1"/>
  <c r="T75" i="1" s="1"/>
  <c r="T76" i="1" s="1"/>
  <c r="T77" i="1" s="1"/>
  <c r="T78" i="1" s="1"/>
  <c r="T79" i="1" s="1"/>
  <c r="T80" i="1" s="1"/>
  <c r="T81" i="1" s="1"/>
  <c r="T82" i="1" s="1"/>
  <c r="T83" i="1" s="1"/>
  <c r="T84" i="1" s="1"/>
  <c r="T85" i="1" s="1"/>
  <c r="T86" i="1" s="1"/>
  <c r="T87" i="1" s="1"/>
  <c r="T88" i="1" s="1"/>
  <c r="T89" i="1" s="1"/>
  <c r="T90" i="1" s="1"/>
  <c r="T91" i="1" s="1"/>
  <c r="T92" i="1" s="1"/>
  <c r="T2" i="1"/>
  <c r="T3" i="1" s="1"/>
  <c r="T4" i="1" s="1"/>
  <c r="T5" i="1" s="1"/>
  <c r="T6" i="1" s="1"/>
  <c r="T7" i="1" s="1"/>
  <c r="T8" i="1" s="1"/>
  <c r="T9" i="1" s="1"/>
  <c r="T10" i="1" s="1"/>
  <c r="T11" i="1" s="1"/>
  <c r="T12" i="1" s="1"/>
  <c r="T13" i="1" s="1"/>
  <c r="T14" i="1" s="1"/>
  <c r="T15" i="1" s="1"/>
  <c r="T16" i="1" s="1"/>
  <c r="T17" i="1" s="1"/>
  <c r="T18" i="1" s="1"/>
  <c r="T19" i="1" s="1"/>
  <c r="T20" i="1" s="1"/>
  <c r="T21" i="1" s="1"/>
  <c r="T22" i="1" s="1"/>
  <c r="T23" i="1" s="1"/>
  <c r="S2" i="1"/>
  <c r="E9" i="2"/>
  <c r="F9" i="2"/>
  <c r="G9" i="2"/>
  <c r="D9" i="2"/>
  <c r="S26" i="1" l="1"/>
  <c r="U26" i="1" s="1"/>
  <c r="U2" i="1"/>
  <c r="S3" i="1"/>
  <c r="U27" i="1" l="1"/>
  <c r="U3" i="1"/>
  <c r="S4" i="1"/>
  <c r="U28" i="1" l="1"/>
  <c r="U4" i="1"/>
  <c r="S5" i="1"/>
  <c r="U29" i="1" l="1"/>
  <c r="S30" i="1"/>
  <c r="S6" i="1"/>
  <c r="U5" i="1"/>
  <c r="U30" i="1" l="1"/>
  <c r="S31" i="1"/>
  <c r="S7" i="1"/>
  <c r="U6" i="1"/>
  <c r="S32" i="1" l="1"/>
  <c r="U31" i="1"/>
  <c r="S8" i="1"/>
  <c r="U7" i="1"/>
  <c r="U32" i="1" l="1"/>
  <c r="S33" i="1"/>
  <c r="S9" i="1"/>
  <c r="U8" i="1"/>
  <c r="U33" i="1" l="1"/>
  <c r="S34" i="1"/>
  <c r="S10" i="1"/>
  <c r="U9" i="1"/>
  <c r="U34" i="1" l="1"/>
  <c r="S35" i="1"/>
  <c r="S11" i="1"/>
  <c r="U10" i="1"/>
  <c r="U35" i="1" l="1"/>
  <c r="S36" i="1"/>
  <c r="S12" i="1"/>
  <c r="U11" i="1"/>
  <c r="S37" i="1" l="1"/>
  <c r="U36" i="1"/>
  <c r="S13" i="1"/>
  <c r="U12" i="1"/>
  <c r="S38" i="1" l="1"/>
  <c r="U37" i="1"/>
  <c r="U13" i="1"/>
  <c r="S14" i="1"/>
  <c r="U38" i="1" l="1"/>
  <c r="S39" i="1"/>
  <c r="S15" i="1"/>
  <c r="U14" i="1"/>
  <c r="S40" i="1" l="1"/>
  <c r="U39" i="1"/>
  <c r="U15" i="1"/>
  <c r="S16" i="1"/>
  <c r="S41" i="1" l="1"/>
  <c r="U40" i="1"/>
  <c r="S17" i="1"/>
  <c r="U16" i="1"/>
  <c r="S42" i="1" l="1"/>
  <c r="U41" i="1"/>
  <c r="S18" i="1"/>
  <c r="U17" i="1"/>
  <c r="U42" i="1" l="1"/>
  <c r="S43" i="1"/>
  <c r="S19" i="1"/>
  <c r="U18" i="1"/>
  <c r="U43" i="1" l="1"/>
  <c r="S44" i="1"/>
  <c r="U19" i="1"/>
  <c r="S20" i="1"/>
  <c r="S45" i="1" l="1"/>
  <c r="U44" i="1"/>
  <c r="S21" i="1"/>
  <c r="U20" i="1"/>
  <c r="U45" i="1" l="1"/>
  <c r="S46" i="1"/>
  <c r="S22" i="1"/>
  <c r="U21" i="1"/>
  <c r="U46" i="1" l="1"/>
  <c r="S47" i="1"/>
  <c r="U22" i="1"/>
  <c r="S23" i="1"/>
  <c r="S48" i="1" l="1"/>
  <c r="U47" i="1"/>
  <c r="U23" i="1"/>
  <c r="U48" i="1" l="1"/>
  <c r="S49" i="1"/>
  <c r="U49" i="1" l="1"/>
  <c r="S50" i="1"/>
  <c r="U50" i="1" l="1"/>
  <c r="S51" i="1"/>
  <c r="U51" i="1" l="1"/>
  <c r="S52" i="1"/>
  <c r="U52" i="1" l="1"/>
  <c r="S53" i="1"/>
  <c r="S54" i="1" l="1"/>
  <c r="U53" i="1"/>
  <c r="U54" i="1" l="1"/>
  <c r="S55" i="1"/>
  <c r="S56" i="1" l="1"/>
  <c r="U55" i="1"/>
  <c r="S57" i="1" l="1"/>
  <c r="U56" i="1"/>
  <c r="U57" i="1" l="1"/>
  <c r="S58" i="1"/>
  <c r="U58" i="1" l="1"/>
  <c r="S59" i="1"/>
  <c r="U59" i="1" l="1"/>
  <c r="S60" i="1"/>
  <c r="U60" i="1" l="1"/>
  <c r="S61" i="1"/>
  <c r="U61" i="1" l="1"/>
  <c r="S62" i="1"/>
  <c r="U62" i="1" l="1"/>
  <c r="S63" i="1"/>
  <c r="S64" i="1" l="1"/>
  <c r="U63" i="1"/>
  <c r="U64" i="1" l="1"/>
  <c r="S65" i="1"/>
  <c r="U65" i="1" l="1"/>
  <c r="S66" i="1"/>
  <c r="U66" i="1" l="1"/>
  <c r="S67" i="1"/>
  <c r="U67" i="1" l="1"/>
  <c r="S68" i="1"/>
  <c r="U68" i="1" l="1"/>
  <c r="S69" i="1"/>
  <c r="S70" i="1" l="1"/>
  <c r="U69" i="1"/>
  <c r="U70" i="1" l="1"/>
  <c r="S71" i="1"/>
  <c r="S72" i="1" l="1"/>
  <c r="U71" i="1"/>
  <c r="S73" i="1" l="1"/>
  <c r="U72" i="1"/>
  <c r="S74" i="1" l="1"/>
  <c r="U73" i="1"/>
  <c r="U74" i="1" l="1"/>
  <c r="S75" i="1"/>
  <c r="U75" i="1" l="1"/>
  <c r="S76" i="1"/>
  <c r="U76" i="1" l="1"/>
  <c r="S77" i="1"/>
  <c r="U77" i="1" l="1"/>
  <c r="S78" i="1"/>
  <c r="U78" i="1" l="1"/>
  <c r="S79" i="1"/>
  <c r="S80" i="1" l="1"/>
  <c r="U79" i="1"/>
  <c r="U80" i="1" l="1"/>
  <c r="S81" i="1"/>
  <c r="S82" i="1" l="1"/>
  <c r="U81" i="1"/>
  <c r="U82" i="1" l="1"/>
  <c r="S83" i="1"/>
  <c r="U83" i="1" l="1"/>
  <c r="S84" i="1"/>
  <c r="U84" i="1" l="1"/>
  <c r="S85" i="1"/>
  <c r="S86" i="1" l="1"/>
  <c r="U85" i="1"/>
  <c r="U86" i="1" l="1"/>
  <c r="S87" i="1"/>
  <c r="S88" i="1" l="1"/>
  <c r="U87" i="1"/>
  <c r="U88" i="1" l="1"/>
  <c r="S89" i="1"/>
  <c r="S90" i="1" l="1"/>
  <c r="U89" i="1"/>
  <c r="U90" i="1" l="1"/>
  <c r="S91" i="1"/>
  <c r="U91" i="1" l="1"/>
  <c r="S92" i="1"/>
  <c r="U92" i="1" s="1"/>
</calcChain>
</file>

<file path=xl/sharedStrings.xml><?xml version="1.0" encoding="utf-8"?>
<sst xmlns="http://schemas.openxmlformats.org/spreadsheetml/2006/main" count="424" uniqueCount="72">
  <si>
    <t>Jornada</t>
  </si>
  <si>
    <t>Rival</t>
  </si>
  <si>
    <t>Data</t>
  </si>
  <si>
    <t>Hora</t>
  </si>
  <si>
    <t>Loc/Visit</t>
  </si>
  <si>
    <t>Periode</t>
  </si>
  <si>
    <t>Minut</t>
  </si>
  <si>
    <t>jug 1</t>
  </si>
  <si>
    <t>jug 2</t>
  </si>
  <si>
    <t>jug 3</t>
  </si>
  <si>
    <t>jug 4</t>
  </si>
  <si>
    <t>jug 5</t>
  </si>
  <si>
    <t>Tàctica</t>
  </si>
  <si>
    <t>Desenllac</t>
  </si>
  <si>
    <t>Assist</t>
  </si>
  <si>
    <t>Finalitzadora</t>
  </si>
  <si>
    <t>PF</t>
  </si>
  <si>
    <t>PC</t>
  </si>
  <si>
    <t>Marcador equip</t>
  </si>
  <si>
    <t>Marcador rival</t>
  </si>
  <si>
    <t>Marcador</t>
  </si>
  <si>
    <t>Tierno</t>
  </si>
  <si>
    <t>Marina</t>
  </si>
  <si>
    <t>Puyi</t>
  </si>
  <si>
    <t>Moreno</t>
  </si>
  <si>
    <t>puyi</t>
  </si>
  <si>
    <t>Jové</t>
  </si>
  <si>
    <t>Mar</t>
  </si>
  <si>
    <t>t2f</t>
  </si>
  <si>
    <t>Dana</t>
  </si>
  <si>
    <t>RO a favor</t>
  </si>
  <si>
    <t>RD a favor</t>
  </si>
  <si>
    <t>RO en contra</t>
  </si>
  <si>
    <t>RD en contra</t>
  </si>
  <si>
    <t>t3c</t>
  </si>
  <si>
    <t>Punts RO rival</t>
  </si>
  <si>
    <t>t3f</t>
  </si>
  <si>
    <t>t2c</t>
  </si>
  <si>
    <t>Punts RO a favor</t>
  </si>
  <si>
    <t>pèrdua</t>
  </si>
  <si>
    <t>play</t>
  </si>
  <si>
    <t>marina</t>
  </si>
  <si>
    <t>dana</t>
  </si>
  <si>
    <t>RO</t>
  </si>
  <si>
    <t>tierno</t>
  </si>
  <si>
    <t>falta</t>
  </si>
  <si>
    <t>jové</t>
  </si>
  <si>
    <t>-</t>
  </si>
  <si>
    <t>Període</t>
  </si>
  <si>
    <t>PF de RO a favor</t>
  </si>
  <si>
    <t>PF de RO en contra</t>
  </si>
  <si>
    <t>total</t>
  </si>
  <si>
    <t>Cojo</t>
  </si>
  <si>
    <t>cojo</t>
  </si>
  <si>
    <t>siena</t>
  </si>
  <si>
    <t>falta (tll)</t>
  </si>
  <si>
    <t>contratac</t>
  </si>
  <si>
    <t>Tapia</t>
  </si>
  <si>
    <t>tac30</t>
  </si>
  <si>
    <t>tapia</t>
  </si>
  <si>
    <t>tac33</t>
  </si>
  <si>
    <t>Ivet</t>
  </si>
  <si>
    <t>go</t>
  </si>
  <si>
    <t>Neyhart</t>
  </si>
  <si>
    <t>neyhart</t>
  </si>
  <si>
    <t>Local</t>
  </si>
  <si>
    <t>pisa</t>
  </si>
  <si>
    <t>DISTRITO</t>
  </si>
  <si>
    <t>final</t>
  </si>
  <si>
    <t>tac34</t>
  </si>
  <si>
    <t>tac35</t>
  </si>
  <si>
    <t>jove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</si>
</sst>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C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  <xf numFmtId="14" fontId="0" fillId="0" borderId="0" xfId="0" applyNumberFormat="1"/>
    <xf numFmtId="20" fontId="0" fillId="0" borderId="0" xfId="0" applyNumberFormat="1"/>
    <xf numFmtId="0" fontId="0" fillId="2" borderId="0" xfId="0" applyFill="1"/>
    <xf numFmtId="0" fontId="3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3" fillId="5" borderId="0" xfId="0" applyFont="1" applyFill="1"/>
    <xf numFmtId="0" fontId="4" fillId="0" borderId="0" xfId="0" applyFont="1"/>
    <xf numFmtId="0" fontId="0" fillId="0" borderId="0" xfId="0" applyAlignment="1">
      <alignment horizontal="center"/>
    </xf>
    <xf numFmtId="0" fontId="4" fillId="6" borderId="0" xfId="0" applyFont="1" applyFill="1"/>
    <xf numFmtId="0" fontId="4" fillId="2" borderId="0" xfId="0" applyFont="1" applyFill="1"/>
    <xf numFmtId="0" fontId="5" fillId="3" borderId="0" xfId="0" applyFont="1" applyFill="1"/>
    <xf numFmtId="0" fontId="5" fillId="0" borderId="0" xfId="0" applyFont="1"/>
    <xf numFmtId="0" fontId="3" fillId="3" borderId="0" xfId="0" applyFont="1" applyFill="1"/>
    <xf numFmtId="0" fontId="7" fillId="0" borderId="0" xfId="0" applyFont="1"/>
    <xf numFmtId="0" fontId="7" fillId="3" borderId="0" xfId="0" applyFont="1" applyFill="1"/>
    <xf numFmtId="0" fontId="0" fillId="7" borderId="0" xfId="0" applyFill="1"/>
    <xf numFmtId="21" fontId="0" fillId="7" borderId="0" xfId="0" applyNumberFormat="1" applyFill="1"/>
    <xf numFmtId="0" fontId="0" fillId="0" borderId="0" xfId="0" quotePrefix="1"/>
    <xf numFmtId="0" fontId="0" fillId="2" borderId="0" xfId="0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/>
    <xf numFmtId="20" fontId="3" fillId="0" borderId="0" xfId="0" applyNumberFormat="1" applyFont="1"/>
    <xf numFmtId="0" fontId="3" fillId="0" borderId="0" xfId="0" quotePrefix="1" applyFont="1"/>
    <xf numFmtId="14" fontId="0" fillId="2" borderId="0" xfId="0" applyNumberFormat="1" applyFill="1"/>
    <xf numFmtId="20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4ED9-F3C0-42F8-8C99-E681B16A3183}">
  <dimension ref="A1:AA100"/>
  <sheetViews>
    <sheetView tabSelected="1" zoomScale="85" zoomScaleNormal="85" workbookViewId="0">
      <selection activeCell="L28" sqref="L28"/>
    </sheetView>
  </sheetViews>
  <sheetFormatPr baseColWidth="10" defaultRowHeight="15" x14ac:dyDescent="0.25"/>
  <cols>
    <col min="22" max="22" width="20" bestFit="1" customWidth="1"/>
    <col min="23" max="23" width="0" hidden="1" customWidth="1"/>
    <col min="25" max="25" width="0" hidden="1" customWidth="1"/>
    <col min="27" max="27" width="13.42578125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30</v>
      </c>
      <c r="W1" s="3" t="s">
        <v>31</v>
      </c>
      <c r="X1" s="3" t="s">
        <v>32</v>
      </c>
      <c r="Y1" s="3" t="s">
        <v>33</v>
      </c>
      <c r="Z1" s="3" t="s">
        <v>38</v>
      </c>
      <c r="AA1" s="3" t="s">
        <v>35</v>
      </c>
    </row>
    <row r="2" spans="1:27" x14ac:dyDescent="0.25">
      <c r="A2" s="4">
        <v>14</v>
      </c>
      <c r="B2" s="4" t="s">
        <v>67</v>
      </c>
      <c r="C2" s="5">
        <v>46039</v>
      </c>
      <c r="D2" s="6">
        <v>0.70833333333333337</v>
      </c>
      <c r="E2" t="s">
        <v>65</v>
      </c>
      <c r="F2" s="7">
        <v>1</v>
      </c>
      <c r="G2">
        <v>9</v>
      </c>
      <c r="H2" t="s">
        <v>21</v>
      </c>
      <c r="I2" t="s">
        <v>57</v>
      </c>
      <c r="J2" t="s">
        <v>52</v>
      </c>
      <c r="K2" t="s">
        <v>23</v>
      </c>
      <c r="L2" t="s">
        <v>24</v>
      </c>
      <c r="M2" t="s">
        <v>47</v>
      </c>
      <c r="N2" t="s">
        <v>47</v>
      </c>
      <c r="Q2">
        <v>0</v>
      </c>
      <c r="R2">
        <v>2</v>
      </c>
      <c r="S2">
        <f>Q2</f>
        <v>0</v>
      </c>
      <c r="T2">
        <f>R2</f>
        <v>2</v>
      </c>
      <c r="U2" s="4" t="str">
        <f>S2&amp;"-"&amp;T2</f>
        <v>0-2</v>
      </c>
    </row>
    <row r="3" spans="1:27" x14ac:dyDescent="0.25">
      <c r="A3" s="4">
        <v>14</v>
      </c>
      <c r="B3" s="4" t="s">
        <v>67</v>
      </c>
      <c r="C3" s="5">
        <v>46039</v>
      </c>
      <c r="D3" s="6">
        <v>0.70833333333333337</v>
      </c>
      <c r="E3" t="s">
        <v>65</v>
      </c>
      <c r="F3" s="7">
        <v>1</v>
      </c>
      <c r="G3">
        <v>9</v>
      </c>
      <c r="H3" t="s">
        <v>21</v>
      </c>
      <c r="I3" t="s">
        <v>57</v>
      </c>
      <c r="J3" t="s">
        <v>52</v>
      </c>
      <c r="K3" t="s">
        <v>23</v>
      </c>
      <c r="L3" t="s">
        <v>24</v>
      </c>
      <c r="M3" t="s">
        <v>54</v>
      </c>
      <c r="N3" t="s">
        <v>55</v>
      </c>
      <c r="P3" t="s">
        <v>53</v>
      </c>
      <c r="Q3">
        <v>1</v>
      </c>
      <c r="R3">
        <v>2</v>
      </c>
      <c r="S3">
        <f>S2+Q3</f>
        <v>1</v>
      </c>
      <c r="T3">
        <f>T2+R3</f>
        <v>4</v>
      </c>
      <c r="U3" s="4" t="str">
        <f t="shared" ref="U3:U23" si="0">S3&amp;"-"&amp;T3</f>
        <v>1-4</v>
      </c>
    </row>
    <row r="4" spans="1:27" x14ac:dyDescent="0.25">
      <c r="A4" s="4">
        <v>14</v>
      </c>
      <c r="B4" s="4" t="s">
        <v>67</v>
      </c>
      <c r="C4" s="5">
        <v>46039</v>
      </c>
      <c r="D4" s="6">
        <v>0.70833333333333304</v>
      </c>
      <c r="E4" t="s">
        <v>65</v>
      </c>
      <c r="F4" s="7">
        <v>1</v>
      </c>
      <c r="G4">
        <v>9</v>
      </c>
      <c r="H4" t="s">
        <v>21</v>
      </c>
      <c r="I4" t="s">
        <v>57</v>
      </c>
      <c r="J4" t="s">
        <v>52</v>
      </c>
      <c r="K4" t="s">
        <v>23</v>
      </c>
      <c r="L4" t="s">
        <v>24</v>
      </c>
      <c r="M4" t="s">
        <v>54</v>
      </c>
      <c r="N4" t="s">
        <v>39</v>
      </c>
      <c r="P4" t="s">
        <v>44</v>
      </c>
      <c r="Q4">
        <v>0</v>
      </c>
      <c r="R4">
        <v>0</v>
      </c>
      <c r="S4">
        <f t="shared" ref="S4:S12" si="1">S3+Q4</f>
        <v>1</v>
      </c>
      <c r="T4">
        <f t="shared" ref="T4:T12" si="2">T3+R4</f>
        <v>4</v>
      </c>
      <c r="U4" s="4" t="str">
        <f t="shared" si="0"/>
        <v>1-4</v>
      </c>
    </row>
    <row r="5" spans="1:27" x14ac:dyDescent="0.25">
      <c r="A5" s="4">
        <v>14</v>
      </c>
      <c r="B5" s="4" t="s">
        <v>67</v>
      </c>
      <c r="C5" s="5">
        <v>46039</v>
      </c>
      <c r="D5" s="6">
        <v>0.70833333333333304</v>
      </c>
      <c r="E5" t="s">
        <v>65</v>
      </c>
      <c r="F5" s="7">
        <v>1</v>
      </c>
      <c r="G5">
        <v>8</v>
      </c>
      <c r="H5" t="s">
        <v>21</v>
      </c>
      <c r="I5" t="s">
        <v>57</v>
      </c>
      <c r="J5" t="s">
        <v>52</v>
      </c>
      <c r="K5" t="s">
        <v>23</v>
      </c>
      <c r="L5" t="s">
        <v>24</v>
      </c>
      <c r="M5" t="s">
        <v>40</v>
      </c>
      <c r="N5" t="s">
        <v>37</v>
      </c>
      <c r="P5" t="s">
        <v>44</v>
      </c>
      <c r="Q5">
        <v>2</v>
      </c>
      <c r="R5">
        <v>0</v>
      </c>
      <c r="S5">
        <f t="shared" si="1"/>
        <v>3</v>
      </c>
      <c r="T5">
        <f t="shared" si="2"/>
        <v>4</v>
      </c>
      <c r="U5" s="4" t="str">
        <f t="shared" si="0"/>
        <v>3-4</v>
      </c>
    </row>
    <row r="6" spans="1:27" x14ac:dyDescent="0.25">
      <c r="A6" s="4">
        <v>14</v>
      </c>
      <c r="B6" s="4" t="s">
        <v>67</v>
      </c>
      <c r="C6" s="5">
        <v>46039</v>
      </c>
      <c r="D6" s="6">
        <v>0.70833333333333304</v>
      </c>
      <c r="E6" t="s">
        <v>65</v>
      </c>
      <c r="F6" s="7">
        <v>1</v>
      </c>
      <c r="G6">
        <v>8</v>
      </c>
      <c r="H6" t="s">
        <v>21</v>
      </c>
      <c r="I6" t="s">
        <v>57</v>
      </c>
      <c r="J6" t="s">
        <v>52</v>
      </c>
      <c r="K6" t="s">
        <v>23</v>
      </c>
      <c r="L6" t="s">
        <v>24</v>
      </c>
      <c r="M6" t="s">
        <v>58</v>
      </c>
      <c r="N6" t="s">
        <v>28</v>
      </c>
      <c r="P6" t="s">
        <v>25</v>
      </c>
      <c r="Q6" s="24">
        <v>0</v>
      </c>
      <c r="R6">
        <v>2</v>
      </c>
      <c r="S6">
        <f t="shared" si="1"/>
        <v>3</v>
      </c>
      <c r="T6">
        <f t="shared" si="2"/>
        <v>6</v>
      </c>
      <c r="U6" s="4" t="str">
        <f t="shared" si="0"/>
        <v>3-6</v>
      </c>
    </row>
    <row r="7" spans="1:27" x14ac:dyDescent="0.25">
      <c r="A7" s="4">
        <v>14</v>
      </c>
      <c r="B7" s="4" t="s">
        <v>67</v>
      </c>
      <c r="C7" s="5">
        <v>46039</v>
      </c>
      <c r="D7" s="6">
        <v>0.70833333333333304</v>
      </c>
      <c r="E7" t="s">
        <v>65</v>
      </c>
      <c r="F7" s="7">
        <v>1</v>
      </c>
      <c r="G7">
        <v>7</v>
      </c>
      <c r="H7" t="s">
        <v>21</v>
      </c>
      <c r="I7" t="s">
        <v>57</v>
      </c>
      <c r="J7" t="s">
        <v>52</v>
      </c>
      <c r="K7" t="s">
        <v>23</v>
      </c>
      <c r="L7" t="s">
        <v>24</v>
      </c>
      <c r="M7" t="s">
        <v>58</v>
      </c>
      <c r="N7" t="s">
        <v>34</v>
      </c>
      <c r="P7" t="s">
        <v>44</v>
      </c>
      <c r="Q7">
        <v>3</v>
      </c>
      <c r="R7">
        <v>0</v>
      </c>
      <c r="S7">
        <f t="shared" si="1"/>
        <v>6</v>
      </c>
      <c r="T7">
        <f t="shared" si="2"/>
        <v>6</v>
      </c>
      <c r="U7" s="4" t="str">
        <f t="shared" si="0"/>
        <v>6-6</v>
      </c>
    </row>
    <row r="8" spans="1:27" x14ac:dyDescent="0.25">
      <c r="A8" s="4">
        <v>14</v>
      </c>
      <c r="B8" s="4" t="s">
        <v>67</v>
      </c>
      <c r="C8" s="5">
        <v>46039</v>
      </c>
      <c r="D8" s="6">
        <v>0.70833333333333304</v>
      </c>
      <c r="E8" t="s">
        <v>65</v>
      </c>
      <c r="F8" s="7">
        <v>1</v>
      </c>
      <c r="G8">
        <v>6</v>
      </c>
      <c r="H8" t="s">
        <v>21</v>
      </c>
      <c r="I8" t="s">
        <v>57</v>
      </c>
      <c r="J8" t="s">
        <v>52</v>
      </c>
      <c r="K8" t="s">
        <v>23</v>
      </c>
      <c r="L8" t="s">
        <v>24</v>
      </c>
      <c r="M8" t="s">
        <v>62</v>
      </c>
      <c r="N8" t="s">
        <v>37</v>
      </c>
      <c r="P8" t="s">
        <v>25</v>
      </c>
      <c r="Q8">
        <v>2</v>
      </c>
      <c r="R8">
        <v>2</v>
      </c>
      <c r="S8">
        <f t="shared" si="1"/>
        <v>8</v>
      </c>
      <c r="T8">
        <f t="shared" si="2"/>
        <v>8</v>
      </c>
      <c r="U8" s="4" t="str">
        <f t="shared" si="0"/>
        <v>8-8</v>
      </c>
    </row>
    <row r="9" spans="1:27" x14ac:dyDescent="0.25">
      <c r="A9" s="4">
        <v>14</v>
      </c>
      <c r="B9" s="4" t="s">
        <v>67</v>
      </c>
      <c r="C9" s="5">
        <v>46039</v>
      </c>
      <c r="D9" s="6">
        <v>0.70833333333333304</v>
      </c>
      <c r="E9" t="s">
        <v>65</v>
      </c>
      <c r="F9" s="7">
        <v>1</v>
      </c>
      <c r="G9">
        <v>5</v>
      </c>
      <c r="H9" t="s">
        <v>21</v>
      </c>
      <c r="I9" t="s">
        <v>57</v>
      </c>
      <c r="J9" t="s">
        <v>52</v>
      </c>
      <c r="K9" t="s">
        <v>23</v>
      </c>
      <c r="L9" t="s">
        <v>24</v>
      </c>
      <c r="M9" t="s">
        <v>60</v>
      </c>
      <c r="N9" t="s">
        <v>36</v>
      </c>
      <c r="P9" t="s">
        <v>25</v>
      </c>
      <c r="Q9">
        <v>0</v>
      </c>
      <c r="R9">
        <v>0</v>
      </c>
      <c r="S9">
        <f t="shared" si="1"/>
        <v>8</v>
      </c>
      <c r="T9">
        <f t="shared" si="2"/>
        <v>8</v>
      </c>
      <c r="U9" s="4" t="str">
        <f t="shared" si="0"/>
        <v>8-8</v>
      </c>
    </row>
    <row r="10" spans="1:27" x14ac:dyDescent="0.25">
      <c r="A10" s="4">
        <v>14</v>
      </c>
      <c r="B10" s="4" t="s">
        <v>67</v>
      </c>
      <c r="C10" s="5">
        <v>46039</v>
      </c>
      <c r="D10" s="6">
        <v>0.70833333333333304</v>
      </c>
      <c r="E10" t="s">
        <v>65</v>
      </c>
      <c r="F10" s="7">
        <v>1</v>
      </c>
      <c r="G10">
        <v>5</v>
      </c>
      <c r="H10" t="s">
        <v>21</v>
      </c>
      <c r="I10" t="s">
        <v>57</v>
      </c>
      <c r="J10" t="s">
        <v>52</v>
      </c>
      <c r="K10" t="s">
        <v>23</v>
      </c>
      <c r="L10" t="s">
        <v>24</v>
      </c>
      <c r="M10" t="s">
        <v>56</v>
      </c>
      <c r="N10" t="s">
        <v>45</v>
      </c>
      <c r="P10" t="s">
        <v>59</v>
      </c>
      <c r="Q10">
        <v>0</v>
      </c>
      <c r="R10">
        <v>0</v>
      </c>
      <c r="S10">
        <f t="shared" si="1"/>
        <v>8</v>
      </c>
      <c r="T10">
        <f t="shared" si="2"/>
        <v>8</v>
      </c>
      <c r="U10" s="4" t="str">
        <f t="shared" si="0"/>
        <v>8-8</v>
      </c>
    </row>
    <row r="11" spans="1:27" x14ac:dyDescent="0.25">
      <c r="A11" s="4">
        <v>14</v>
      </c>
      <c r="B11" s="4" t="s">
        <v>67</v>
      </c>
      <c r="C11" s="5">
        <v>46039</v>
      </c>
      <c r="D11" s="6">
        <v>0.70833333333333304</v>
      </c>
      <c r="E11" t="s">
        <v>65</v>
      </c>
      <c r="F11" s="7">
        <v>1</v>
      </c>
      <c r="G11">
        <v>5</v>
      </c>
      <c r="H11" t="s">
        <v>21</v>
      </c>
      <c r="I11" t="s">
        <v>57</v>
      </c>
      <c r="J11" t="s">
        <v>52</v>
      </c>
      <c r="K11" t="s">
        <v>23</v>
      </c>
      <c r="L11" t="s">
        <v>29</v>
      </c>
      <c r="M11" t="s">
        <v>66</v>
      </c>
      <c r="N11" t="s">
        <v>36</v>
      </c>
      <c r="P11" t="s">
        <v>25</v>
      </c>
      <c r="Q11">
        <v>0</v>
      </c>
      <c r="R11">
        <v>0</v>
      </c>
      <c r="S11">
        <f t="shared" si="1"/>
        <v>8</v>
      </c>
      <c r="T11">
        <f t="shared" si="2"/>
        <v>8</v>
      </c>
      <c r="U11" s="4" t="str">
        <f t="shared" si="0"/>
        <v>8-8</v>
      </c>
    </row>
    <row r="12" spans="1:27" x14ac:dyDescent="0.25">
      <c r="A12" s="4">
        <v>14</v>
      </c>
      <c r="B12" s="4" t="s">
        <v>67</v>
      </c>
      <c r="C12" s="5">
        <v>46039</v>
      </c>
      <c r="D12" s="6">
        <v>0.70833333333333304</v>
      </c>
      <c r="E12" t="s">
        <v>65</v>
      </c>
      <c r="F12" s="7">
        <v>1</v>
      </c>
      <c r="G12">
        <v>4</v>
      </c>
      <c r="H12" t="s">
        <v>21</v>
      </c>
      <c r="I12" t="s">
        <v>57</v>
      </c>
      <c r="J12" t="s">
        <v>52</v>
      </c>
      <c r="K12" t="s">
        <v>23</v>
      </c>
      <c r="L12" t="s">
        <v>29</v>
      </c>
      <c r="M12" t="s">
        <v>62</v>
      </c>
      <c r="N12" t="s">
        <v>28</v>
      </c>
      <c r="P12" t="s">
        <v>25</v>
      </c>
      <c r="Q12">
        <v>0</v>
      </c>
      <c r="R12">
        <v>0</v>
      </c>
      <c r="S12">
        <f t="shared" si="1"/>
        <v>8</v>
      </c>
      <c r="T12">
        <f t="shared" si="2"/>
        <v>8</v>
      </c>
      <c r="U12" s="4" t="str">
        <f t="shared" si="0"/>
        <v>8-8</v>
      </c>
    </row>
    <row r="13" spans="1:27" x14ac:dyDescent="0.25">
      <c r="A13" s="4">
        <v>14</v>
      </c>
      <c r="B13" s="4" t="s">
        <v>67</v>
      </c>
      <c r="C13" s="5">
        <v>46039</v>
      </c>
      <c r="D13" s="6">
        <v>0.70833333333333304</v>
      </c>
      <c r="E13" t="s">
        <v>65</v>
      </c>
      <c r="F13" s="7">
        <v>1</v>
      </c>
      <c r="G13">
        <v>4</v>
      </c>
      <c r="H13" t="s">
        <v>21</v>
      </c>
      <c r="I13" t="s">
        <v>57</v>
      </c>
      <c r="J13" t="s">
        <v>52</v>
      </c>
      <c r="K13" t="s">
        <v>23</v>
      </c>
      <c r="L13" t="s">
        <v>29</v>
      </c>
      <c r="M13" t="s">
        <v>68</v>
      </c>
      <c r="N13" t="s">
        <v>28</v>
      </c>
      <c r="P13" t="s">
        <v>25</v>
      </c>
      <c r="Q13">
        <v>0</v>
      </c>
      <c r="R13">
        <v>0</v>
      </c>
      <c r="S13">
        <f t="shared" ref="S13:S23" si="3">S12+Q13</f>
        <v>8</v>
      </c>
      <c r="T13">
        <f t="shared" ref="T13:T23" si="4">T12+R13</f>
        <v>8</v>
      </c>
      <c r="U13" s="4" t="str">
        <f t="shared" si="0"/>
        <v>8-8</v>
      </c>
      <c r="V13">
        <v>1</v>
      </c>
    </row>
    <row r="14" spans="1:27" x14ac:dyDescent="0.25">
      <c r="A14" s="4">
        <v>14</v>
      </c>
      <c r="B14" s="4" t="s">
        <v>67</v>
      </c>
      <c r="C14" s="5">
        <v>46039</v>
      </c>
      <c r="D14" s="6">
        <v>0.70833333333333304</v>
      </c>
      <c r="E14" t="s">
        <v>65</v>
      </c>
      <c r="F14" s="7">
        <v>1</v>
      </c>
      <c r="G14">
        <v>4</v>
      </c>
      <c r="H14" t="s">
        <v>21</v>
      </c>
      <c r="I14" t="s">
        <v>22</v>
      </c>
      <c r="J14" t="s">
        <v>52</v>
      </c>
      <c r="K14" t="s">
        <v>23</v>
      </c>
      <c r="L14" t="s">
        <v>29</v>
      </c>
      <c r="M14" t="s">
        <v>69</v>
      </c>
      <c r="N14" t="s">
        <v>28</v>
      </c>
      <c r="P14" t="s">
        <v>25</v>
      </c>
      <c r="Q14">
        <v>0</v>
      </c>
      <c r="R14">
        <v>0</v>
      </c>
      <c r="S14">
        <f t="shared" si="3"/>
        <v>8</v>
      </c>
      <c r="T14">
        <f t="shared" si="4"/>
        <v>8</v>
      </c>
      <c r="U14" s="4" t="str">
        <f t="shared" si="0"/>
        <v>8-8</v>
      </c>
    </row>
    <row r="15" spans="1:27" x14ac:dyDescent="0.25">
      <c r="A15" s="4">
        <v>14</v>
      </c>
      <c r="B15" s="4" t="s">
        <v>67</v>
      </c>
      <c r="C15" s="5">
        <v>46039</v>
      </c>
      <c r="D15" s="6">
        <v>0.70833333333333304</v>
      </c>
      <c r="E15" t="s">
        <v>65</v>
      </c>
      <c r="F15" s="7">
        <v>1</v>
      </c>
      <c r="G15">
        <v>3</v>
      </c>
      <c r="H15" t="s">
        <v>21</v>
      </c>
      <c r="I15" t="s">
        <v>22</v>
      </c>
      <c r="J15" t="s">
        <v>52</v>
      </c>
      <c r="K15" t="s">
        <v>23</v>
      </c>
      <c r="L15" t="s">
        <v>29</v>
      </c>
      <c r="M15" t="s">
        <v>70</v>
      </c>
      <c r="N15" t="s">
        <v>28</v>
      </c>
      <c r="P15" t="s">
        <v>53</v>
      </c>
      <c r="Q15">
        <v>0</v>
      </c>
      <c r="R15">
        <v>0</v>
      </c>
      <c r="S15">
        <f t="shared" si="3"/>
        <v>8</v>
      </c>
      <c r="T15">
        <f t="shared" si="4"/>
        <v>8</v>
      </c>
      <c r="U15" s="4" t="str">
        <f t="shared" si="0"/>
        <v>8-8</v>
      </c>
    </row>
    <row r="16" spans="1:27" x14ac:dyDescent="0.25">
      <c r="A16" s="4">
        <v>14</v>
      </c>
      <c r="B16" s="4" t="s">
        <v>67</v>
      </c>
      <c r="C16" s="5">
        <v>46039</v>
      </c>
      <c r="D16" s="6">
        <v>0.70833333333333304</v>
      </c>
      <c r="E16" t="s">
        <v>65</v>
      </c>
      <c r="F16" s="7">
        <v>1</v>
      </c>
      <c r="G16">
        <v>2</v>
      </c>
      <c r="H16" t="s">
        <v>21</v>
      </c>
      <c r="I16" t="s">
        <v>22</v>
      </c>
      <c r="J16" t="s">
        <v>52</v>
      </c>
      <c r="K16" t="s">
        <v>27</v>
      </c>
      <c r="L16" t="s">
        <v>29</v>
      </c>
      <c r="M16" t="s">
        <v>62</v>
      </c>
      <c r="N16" t="s">
        <v>36</v>
      </c>
      <c r="P16" t="s">
        <v>53</v>
      </c>
      <c r="Q16">
        <v>0</v>
      </c>
      <c r="R16">
        <v>0</v>
      </c>
      <c r="S16">
        <f t="shared" si="3"/>
        <v>8</v>
      </c>
      <c r="T16">
        <f t="shared" si="4"/>
        <v>8</v>
      </c>
      <c r="U16" s="4" t="str">
        <f t="shared" si="0"/>
        <v>8-8</v>
      </c>
      <c r="X16">
        <v>2</v>
      </c>
    </row>
    <row r="17" spans="1:27" x14ac:dyDescent="0.25">
      <c r="A17" s="4">
        <v>14</v>
      </c>
      <c r="B17" s="4" t="s">
        <v>67</v>
      </c>
      <c r="C17" s="5">
        <v>46039</v>
      </c>
      <c r="D17" s="6">
        <v>0.70833333333333304</v>
      </c>
      <c r="E17" t="s">
        <v>65</v>
      </c>
      <c r="F17" s="7">
        <v>1</v>
      </c>
      <c r="G17">
        <v>2</v>
      </c>
      <c r="H17" t="s">
        <v>26</v>
      </c>
      <c r="I17" t="s">
        <v>22</v>
      </c>
      <c r="J17" t="s">
        <v>63</v>
      </c>
      <c r="K17" t="s">
        <v>27</v>
      </c>
      <c r="L17" t="s">
        <v>29</v>
      </c>
      <c r="M17" t="s">
        <v>43</v>
      </c>
      <c r="N17" t="s">
        <v>55</v>
      </c>
      <c r="P17" t="s">
        <v>42</v>
      </c>
      <c r="Q17">
        <v>1</v>
      </c>
      <c r="R17">
        <v>0</v>
      </c>
      <c r="S17">
        <f t="shared" si="3"/>
        <v>9</v>
      </c>
      <c r="T17">
        <f t="shared" si="4"/>
        <v>8</v>
      </c>
      <c r="U17" s="4" t="str">
        <f t="shared" si="0"/>
        <v>9-8</v>
      </c>
      <c r="V17">
        <v>1</v>
      </c>
      <c r="Z17">
        <v>1</v>
      </c>
    </row>
    <row r="18" spans="1:27" x14ac:dyDescent="0.25">
      <c r="A18" s="4">
        <v>14</v>
      </c>
      <c r="B18" s="4" t="s">
        <v>67</v>
      </c>
      <c r="C18" s="5">
        <v>46039</v>
      </c>
      <c r="D18" s="6">
        <v>0.70833333333333304</v>
      </c>
      <c r="E18" t="s">
        <v>65</v>
      </c>
      <c r="F18" s="7">
        <v>1</v>
      </c>
      <c r="G18">
        <v>2</v>
      </c>
      <c r="H18" t="s">
        <v>26</v>
      </c>
      <c r="I18" t="s">
        <v>22</v>
      </c>
      <c r="J18" t="s">
        <v>63</v>
      </c>
      <c r="K18" t="s">
        <v>27</v>
      </c>
      <c r="L18" t="s">
        <v>29</v>
      </c>
      <c r="M18" t="s">
        <v>56</v>
      </c>
      <c r="N18" t="s">
        <v>28</v>
      </c>
      <c r="P18" t="s">
        <v>42</v>
      </c>
      <c r="Q18" s="24">
        <v>0</v>
      </c>
      <c r="R18">
        <v>2</v>
      </c>
      <c r="S18">
        <f t="shared" si="3"/>
        <v>9</v>
      </c>
      <c r="T18">
        <f t="shared" si="4"/>
        <v>10</v>
      </c>
      <c r="U18" s="4" t="str">
        <f t="shared" si="0"/>
        <v>9-10</v>
      </c>
    </row>
    <row r="19" spans="1:27" x14ac:dyDescent="0.25">
      <c r="A19" s="4">
        <v>14</v>
      </c>
      <c r="B19" s="4" t="s">
        <v>67</v>
      </c>
      <c r="C19" s="5">
        <v>46039</v>
      </c>
      <c r="D19" s="6">
        <v>0.70833333333333304</v>
      </c>
      <c r="E19" t="s">
        <v>65</v>
      </c>
      <c r="F19" s="7">
        <v>1</v>
      </c>
      <c r="G19">
        <v>1</v>
      </c>
      <c r="H19" t="s">
        <v>26</v>
      </c>
      <c r="I19" t="s">
        <v>22</v>
      </c>
      <c r="J19" t="s">
        <v>63</v>
      </c>
      <c r="K19" t="s">
        <v>27</v>
      </c>
      <c r="L19" t="s">
        <v>29</v>
      </c>
      <c r="M19" t="s">
        <v>60</v>
      </c>
      <c r="N19" t="s">
        <v>28</v>
      </c>
      <c r="P19" t="s">
        <v>41</v>
      </c>
      <c r="Q19">
        <v>0</v>
      </c>
      <c r="R19">
        <v>0</v>
      </c>
      <c r="S19">
        <f t="shared" si="3"/>
        <v>9</v>
      </c>
      <c r="T19">
        <f t="shared" si="4"/>
        <v>10</v>
      </c>
      <c r="U19" s="4" t="str">
        <f t="shared" si="0"/>
        <v>9-10</v>
      </c>
    </row>
    <row r="20" spans="1:27" x14ac:dyDescent="0.25">
      <c r="A20" s="4">
        <v>14</v>
      </c>
      <c r="B20" s="4" t="s">
        <v>67</v>
      </c>
      <c r="C20" s="5">
        <v>46039</v>
      </c>
      <c r="D20" s="6">
        <v>0.70833333333333304</v>
      </c>
      <c r="E20" t="s">
        <v>65</v>
      </c>
      <c r="F20" s="7">
        <v>1</v>
      </c>
      <c r="G20">
        <v>1</v>
      </c>
      <c r="H20" t="s">
        <v>26</v>
      </c>
      <c r="I20" t="s">
        <v>22</v>
      </c>
      <c r="J20" t="s">
        <v>63</v>
      </c>
      <c r="K20" t="s">
        <v>27</v>
      </c>
      <c r="L20" t="s">
        <v>29</v>
      </c>
      <c r="M20" t="s">
        <v>43</v>
      </c>
      <c r="N20" t="s">
        <v>28</v>
      </c>
      <c r="P20" t="s">
        <v>42</v>
      </c>
      <c r="Q20">
        <v>0</v>
      </c>
      <c r="R20">
        <v>2</v>
      </c>
      <c r="S20">
        <f t="shared" si="3"/>
        <v>9</v>
      </c>
      <c r="T20">
        <f t="shared" si="4"/>
        <v>12</v>
      </c>
      <c r="U20" s="4" t="str">
        <f t="shared" si="0"/>
        <v>9-12</v>
      </c>
      <c r="V20">
        <v>1</v>
      </c>
      <c r="X20">
        <v>1</v>
      </c>
      <c r="AA20">
        <v>2</v>
      </c>
    </row>
    <row r="21" spans="1:27" x14ac:dyDescent="0.25">
      <c r="A21" s="4">
        <v>14</v>
      </c>
      <c r="B21" s="4" t="s">
        <v>67</v>
      </c>
      <c r="C21" s="5">
        <v>46039</v>
      </c>
      <c r="D21" s="6">
        <v>0.70833333333333304</v>
      </c>
      <c r="E21" t="s">
        <v>65</v>
      </c>
      <c r="F21" s="7">
        <v>1</v>
      </c>
      <c r="G21">
        <v>0</v>
      </c>
      <c r="H21" t="s">
        <v>26</v>
      </c>
      <c r="I21" t="s">
        <v>22</v>
      </c>
      <c r="J21" t="s">
        <v>63</v>
      </c>
      <c r="K21" t="s">
        <v>27</v>
      </c>
      <c r="L21" t="s">
        <v>29</v>
      </c>
      <c r="M21" t="s">
        <v>54</v>
      </c>
      <c r="N21" t="s">
        <v>28</v>
      </c>
      <c r="P21" t="s">
        <v>41</v>
      </c>
      <c r="Q21">
        <v>0</v>
      </c>
      <c r="R21">
        <v>0</v>
      </c>
      <c r="S21">
        <f t="shared" si="3"/>
        <v>9</v>
      </c>
      <c r="T21">
        <f t="shared" si="4"/>
        <v>12</v>
      </c>
      <c r="U21" s="4" t="str">
        <f t="shared" si="0"/>
        <v>9-12</v>
      </c>
    </row>
    <row r="22" spans="1:27" x14ac:dyDescent="0.25">
      <c r="A22" s="4">
        <v>14</v>
      </c>
      <c r="B22" s="4" t="s">
        <v>67</v>
      </c>
      <c r="C22" s="5">
        <v>46039</v>
      </c>
      <c r="D22" s="6">
        <v>0.70833333333333304</v>
      </c>
      <c r="E22" t="s">
        <v>65</v>
      </c>
      <c r="F22" s="7">
        <v>1</v>
      </c>
      <c r="G22">
        <v>0</v>
      </c>
      <c r="H22" t="s">
        <v>26</v>
      </c>
      <c r="I22" t="s">
        <v>22</v>
      </c>
      <c r="J22" t="s">
        <v>63</v>
      </c>
      <c r="K22" t="s">
        <v>27</v>
      </c>
      <c r="L22" t="s">
        <v>29</v>
      </c>
      <c r="M22" t="s">
        <v>43</v>
      </c>
      <c r="N22" t="s">
        <v>28</v>
      </c>
      <c r="P22" t="s">
        <v>42</v>
      </c>
      <c r="Q22">
        <v>0</v>
      </c>
      <c r="R22">
        <v>0</v>
      </c>
      <c r="S22">
        <f t="shared" si="3"/>
        <v>9</v>
      </c>
      <c r="T22">
        <f t="shared" si="4"/>
        <v>12</v>
      </c>
      <c r="U22" s="4" t="str">
        <f t="shared" si="0"/>
        <v>9-12</v>
      </c>
      <c r="V22">
        <v>1</v>
      </c>
    </row>
    <row r="23" spans="1:27" s="7" customFormat="1" x14ac:dyDescent="0.25">
      <c r="A23" s="25">
        <v>14</v>
      </c>
      <c r="B23" s="25" t="s">
        <v>67</v>
      </c>
      <c r="C23" s="30">
        <v>46039</v>
      </c>
      <c r="D23" s="31">
        <v>0.70833333333333304</v>
      </c>
      <c r="E23" s="7" t="s">
        <v>65</v>
      </c>
      <c r="F23" s="7">
        <v>1</v>
      </c>
      <c r="G23" s="7">
        <v>0</v>
      </c>
      <c r="H23" s="7" t="s">
        <v>26</v>
      </c>
      <c r="I23" s="7" t="s">
        <v>22</v>
      </c>
      <c r="J23" s="7" t="s">
        <v>63</v>
      </c>
      <c r="K23" s="7" t="s">
        <v>27</v>
      </c>
      <c r="L23" s="7" t="s">
        <v>29</v>
      </c>
      <c r="M23" s="7" t="s">
        <v>40</v>
      </c>
      <c r="N23" s="7" t="s">
        <v>28</v>
      </c>
      <c r="P23" s="7" t="s">
        <v>46</v>
      </c>
      <c r="Q23" s="7">
        <v>0</v>
      </c>
      <c r="R23" s="7">
        <v>2</v>
      </c>
      <c r="S23" s="7">
        <f t="shared" si="3"/>
        <v>9</v>
      </c>
      <c r="T23" s="7">
        <f t="shared" si="4"/>
        <v>14</v>
      </c>
      <c r="U23" s="25" t="str">
        <f t="shared" si="0"/>
        <v>9-14</v>
      </c>
    </row>
    <row r="24" spans="1:27" x14ac:dyDescent="0.25">
      <c r="A24" s="4">
        <v>14</v>
      </c>
      <c r="B24" s="4" t="s">
        <v>67</v>
      </c>
      <c r="C24" s="5">
        <v>46039</v>
      </c>
      <c r="D24" s="6">
        <v>0.70833333333333304</v>
      </c>
      <c r="E24" t="s">
        <v>65</v>
      </c>
      <c r="F24" s="9">
        <v>2</v>
      </c>
      <c r="G24">
        <v>9</v>
      </c>
      <c r="H24" t="s">
        <v>26</v>
      </c>
      <c r="I24" t="s">
        <v>22</v>
      </c>
      <c r="J24" t="s">
        <v>63</v>
      </c>
      <c r="K24" t="s">
        <v>27</v>
      </c>
      <c r="L24" t="s">
        <v>29</v>
      </c>
      <c r="M24" t="s">
        <v>70</v>
      </c>
      <c r="N24" t="s">
        <v>28</v>
      </c>
      <c r="P24" t="s">
        <v>42</v>
      </c>
      <c r="Q24">
        <v>0</v>
      </c>
      <c r="R24">
        <v>3</v>
      </c>
      <c r="S24">
        <f t="shared" ref="S24:S87" si="5">S23+Q24</f>
        <v>9</v>
      </c>
      <c r="T24">
        <f t="shared" ref="T24:T87" si="6">T23+R24</f>
        <v>17</v>
      </c>
      <c r="U24" s="4" t="str">
        <f t="shared" ref="U24:U87" si="7">S24&amp;"-"&amp;T24</f>
        <v>9-17</v>
      </c>
    </row>
    <row r="25" spans="1:27" x14ac:dyDescent="0.25">
      <c r="A25" s="4">
        <v>14</v>
      </c>
      <c r="B25" s="4" t="s">
        <v>67</v>
      </c>
      <c r="C25" s="5">
        <v>46039</v>
      </c>
      <c r="D25" s="6">
        <v>0.70833333333333304</v>
      </c>
      <c r="E25" t="s">
        <v>65</v>
      </c>
      <c r="F25" s="9">
        <v>2</v>
      </c>
      <c r="G25">
        <v>9</v>
      </c>
      <c r="H25" t="s">
        <v>26</v>
      </c>
      <c r="I25" t="s">
        <v>22</v>
      </c>
      <c r="J25" t="s">
        <v>63</v>
      </c>
      <c r="K25" t="s">
        <v>27</v>
      </c>
      <c r="L25" t="s">
        <v>29</v>
      </c>
      <c r="M25" t="s">
        <v>54</v>
      </c>
      <c r="N25" t="s">
        <v>36</v>
      </c>
      <c r="P25" t="s">
        <v>64</v>
      </c>
      <c r="Q25">
        <v>0</v>
      </c>
      <c r="R25">
        <v>0</v>
      </c>
      <c r="S25">
        <f t="shared" si="5"/>
        <v>9</v>
      </c>
      <c r="T25">
        <f t="shared" si="6"/>
        <v>17</v>
      </c>
      <c r="U25" s="4" t="str">
        <f t="shared" si="7"/>
        <v>9-17</v>
      </c>
    </row>
    <row r="26" spans="1:27" s="8" customFormat="1" x14ac:dyDescent="0.25">
      <c r="A26" s="26">
        <v>14</v>
      </c>
      <c r="B26" s="26" t="s">
        <v>67</v>
      </c>
      <c r="C26" s="27">
        <v>46039</v>
      </c>
      <c r="D26" s="28">
        <v>0.70833333333333304</v>
      </c>
      <c r="E26" s="8" t="s">
        <v>65</v>
      </c>
      <c r="F26" s="19">
        <v>2</v>
      </c>
      <c r="G26" s="8">
        <v>8</v>
      </c>
      <c r="H26" s="8" t="s">
        <v>26</v>
      </c>
      <c r="I26" s="8" t="s">
        <v>61</v>
      </c>
      <c r="J26" s="8" t="s">
        <v>52</v>
      </c>
      <c r="K26" s="8" t="s">
        <v>23</v>
      </c>
      <c r="L26" s="8" t="s">
        <v>29</v>
      </c>
      <c r="M26" s="8" t="s">
        <v>56</v>
      </c>
      <c r="N26" s="8" t="s">
        <v>39</v>
      </c>
      <c r="P26" s="8" t="s">
        <v>71</v>
      </c>
      <c r="Q26" s="8">
        <v>0</v>
      </c>
      <c r="R26" s="8">
        <v>3</v>
      </c>
      <c r="S26" s="8">
        <f t="shared" si="5"/>
        <v>9</v>
      </c>
      <c r="T26" s="8">
        <f t="shared" si="6"/>
        <v>20</v>
      </c>
      <c r="U26" s="26" t="str">
        <f t="shared" si="7"/>
        <v>9-20</v>
      </c>
    </row>
    <row r="27" spans="1:27" x14ac:dyDescent="0.25">
      <c r="A27" s="4">
        <v>14</v>
      </c>
      <c r="B27" s="4" t="s">
        <v>67</v>
      </c>
      <c r="C27" s="5">
        <v>46039</v>
      </c>
      <c r="D27" s="6">
        <v>0.70833333333333304</v>
      </c>
      <c r="E27" t="s">
        <v>65</v>
      </c>
      <c r="F27" s="9">
        <v>2</v>
      </c>
      <c r="G27">
        <v>8</v>
      </c>
      <c r="H27" t="s">
        <v>26</v>
      </c>
      <c r="I27" t="s">
        <v>61</v>
      </c>
      <c r="J27" t="s">
        <v>52</v>
      </c>
      <c r="K27" t="s">
        <v>23</v>
      </c>
      <c r="L27" t="s">
        <v>29</v>
      </c>
      <c r="Q27">
        <v>0</v>
      </c>
      <c r="R27">
        <v>0</v>
      </c>
      <c r="S27">
        <f t="shared" si="5"/>
        <v>9</v>
      </c>
      <c r="T27">
        <f t="shared" si="6"/>
        <v>20</v>
      </c>
      <c r="U27" s="4" t="str">
        <f t="shared" si="7"/>
        <v>9-20</v>
      </c>
    </row>
    <row r="28" spans="1:27" x14ac:dyDescent="0.25">
      <c r="A28" s="4">
        <v>14</v>
      </c>
      <c r="B28" s="4" t="s">
        <v>67</v>
      </c>
      <c r="C28" s="5">
        <v>46039</v>
      </c>
      <c r="D28" s="6">
        <v>0.70833333333333304</v>
      </c>
      <c r="E28" t="s">
        <v>65</v>
      </c>
      <c r="F28" s="9">
        <v>2</v>
      </c>
      <c r="G28">
        <v>7</v>
      </c>
      <c r="H28" t="s">
        <v>26</v>
      </c>
      <c r="I28" t="s">
        <v>61</v>
      </c>
      <c r="J28" t="s">
        <v>52</v>
      </c>
      <c r="K28" t="s">
        <v>23</v>
      </c>
      <c r="L28" t="s">
        <v>29</v>
      </c>
      <c r="S28">
        <f t="shared" si="5"/>
        <v>9</v>
      </c>
      <c r="T28">
        <f t="shared" si="6"/>
        <v>20</v>
      </c>
      <c r="U28" s="4" t="str">
        <f t="shared" si="7"/>
        <v>9-20</v>
      </c>
    </row>
    <row r="29" spans="1:27" x14ac:dyDescent="0.25">
      <c r="A29" s="4">
        <v>14</v>
      </c>
      <c r="B29" s="4" t="s">
        <v>67</v>
      </c>
      <c r="C29" s="5">
        <v>46039</v>
      </c>
      <c r="D29" s="6">
        <v>0.70833333333333304</v>
      </c>
      <c r="E29" t="s">
        <v>65</v>
      </c>
      <c r="F29" s="9">
        <v>2</v>
      </c>
      <c r="G29">
        <v>6</v>
      </c>
      <c r="S29">
        <f t="shared" si="5"/>
        <v>9</v>
      </c>
      <c r="T29">
        <f t="shared" si="6"/>
        <v>20</v>
      </c>
      <c r="U29" s="4" t="str">
        <f t="shared" si="7"/>
        <v>9-20</v>
      </c>
    </row>
    <row r="30" spans="1:27" x14ac:dyDescent="0.25">
      <c r="A30" s="4">
        <v>14</v>
      </c>
      <c r="B30" s="4" t="s">
        <v>67</v>
      </c>
      <c r="C30" s="5">
        <v>46039</v>
      </c>
      <c r="D30" s="6">
        <v>0.70833333333333304</v>
      </c>
      <c r="E30" t="s">
        <v>65</v>
      </c>
      <c r="F30" s="9">
        <v>2</v>
      </c>
      <c r="G30">
        <v>6</v>
      </c>
      <c r="R30" s="8"/>
      <c r="S30">
        <f t="shared" si="5"/>
        <v>9</v>
      </c>
      <c r="T30">
        <f t="shared" si="6"/>
        <v>20</v>
      </c>
      <c r="U30" s="4" t="str">
        <f t="shared" si="7"/>
        <v>9-20</v>
      </c>
    </row>
    <row r="31" spans="1:27" x14ac:dyDescent="0.25">
      <c r="A31" s="4">
        <v>14</v>
      </c>
      <c r="B31" s="4" t="s">
        <v>67</v>
      </c>
      <c r="C31" s="5">
        <v>46039</v>
      </c>
      <c r="D31" s="6">
        <v>0.70833333333333304</v>
      </c>
      <c r="E31" t="s">
        <v>65</v>
      </c>
      <c r="F31" s="9">
        <v>2</v>
      </c>
      <c r="G31">
        <v>6</v>
      </c>
      <c r="S31">
        <f t="shared" si="5"/>
        <v>9</v>
      </c>
      <c r="T31">
        <f t="shared" si="6"/>
        <v>20</v>
      </c>
      <c r="U31" s="4" t="str">
        <f t="shared" si="7"/>
        <v>9-20</v>
      </c>
    </row>
    <row r="32" spans="1:27" s="8" customFormat="1" x14ac:dyDescent="0.25">
      <c r="A32" s="4">
        <v>14</v>
      </c>
      <c r="B32" s="4" t="s">
        <v>67</v>
      </c>
      <c r="C32" s="5">
        <v>46039</v>
      </c>
      <c r="D32" s="6">
        <v>0.70833333333333304</v>
      </c>
      <c r="E32" t="s">
        <v>65</v>
      </c>
      <c r="F32" s="19">
        <v>2</v>
      </c>
      <c r="G32" s="8">
        <v>5</v>
      </c>
      <c r="S32">
        <f t="shared" si="5"/>
        <v>9</v>
      </c>
      <c r="T32">
        <f t="shared" si="6"/>
        <v>20</v>
      </c>
      <c r="U32" s="4" t="str">
        <f t="shared" si="7"/>
        <v>9-20</v>
      </c>
    </row>
    <row r="33" spans="1:21" x14ac:dyDescent="0.25">
      <c r="A33" s="4">
        <v>14</v>
      </c>
      <c r="B33" s="4" t="s">
        <v>67</v>
      </c>
      <c r="C33" s="5">
        <v>46039</v>
      </c>
      <c r="D33" s="6">
        <v>0.70833333333333304</v>
      </c>
      <c r="E33" t="s">
        <v>65</v>
      </c>
      <c r="F33" s="9">
        <v>2</v>
      </c>
      <c r="G33">
        <v>5</v>
      </c>
      <c r="S33">
        <f t="shared" si="5"/>
        <v>9</v>
      </c>
      <c r="T33">
        <f t="shared" si="6"/>
        <v>20</v>
      </c>
      <c r="U33" s="4" t="str">
        <f t="shared" si="7"/>
        <v>9-20</v>
      </c>
    </row>
    <row r="34" spans="1:21" x14ac:dyDescent="0.25">
      <c r="A34" s="4">
        <v>14</v>
      </c>
      <c r="B34" s="4" t="s">
        <v>67</v>
      </c>
      <c r="C34" s="5">
        <v>46039</v>
      </c>
      <c r="D34" s="6">
        <v>0.70833333333333304</v>
      </c>
      <c r="E34" t="s">
        <v>65</v>
      </c>
      <c r="F34" s="9">
        <v>2</v>
      </c>
      <c r="G34">
        <v>4</v>
      </c>
      <c r="R34" s="8"/>
      <c r="S34">
        <f t="shared" si="5"/>
        <v>9</v>
      </c>
      <c r="T34">
        <f t="shared" si="6"/>
        <v>20</v>
      </c>
      <c r="U34" s="4" t="str">
        <f t="shared" si="7"/>
        <v>9-20</v>
      </c>
    </row>
    <row r="35" spans="1:21" x14ac:dyDescent="0.25">
      <c r="A35" s="4">
        <v>14</v>
      </c>
      <c r="B35" s="4" t="s">
        <v>67</v>
      </c>
      <c r="C35" s="5">
        <v>46039</v>
      </c>
      <c r="D35" s="6">
        <v>0.70833333333333304</v>
      </c>
      <c r="E35" t="s">
        <v>65</v>
      </c>
      <c r="F35" s="9">
        <v>2</v>
      </c>
      <c r="G35">
        <v>4</v>
      </c>
      <c r="S35">
        <f t="shared" si="5"/>
        <v>9</v>
      </c>
      <c r="T35">
        <f t="shared" si="6"/>
        <v>20</v>
      </c>
      <c r="U35" s="4" t="str">
        <f t="shared" si="7"/>
        <v>9-20</v>
      </c>
    </row>
    <row r="36" spans="1:21" x14ac:dyDescent="0.25">
      <c r="A36" s="4">
        <v>14</v>
      </c>
      <c r="B36" s="4" t="s">
        <v>67</v>
      </c>
      <c r="C36" s="5">
        <v>46039</v>
      </c>
      <c r="D36" s="6">
        <v>0.70833333333333304</v>
      </c>
      <c r="E36" t="s">
        <v>65</v>
      </c>
      <c r="F36" s="9">
        <v>2</v>
      </c>
      <c r="G36">
        <v>3</v>
      </c>
      <c r="R36" s="8"/>
      <c r="S36">
        <f t="shared" si="5"/>
        <v>9</v>
      </c>
      <c r="T36">
        <f t="shared" si="6"/>
        <v>20</v>
      </c>
      <c r="U36" s="4" t="str">
        <f t="shared" si="7"/>
        <v>9-20</v>
      </c>
    </row>
    <row r="37" spans="1:21" x14ac:dyDescent="0.25">
      <c r="A37" s="4">
        <v>14</v>
      </c>
      <c r="B37" s="4" t="s">
        <v>67</v>
      </c>
      <c r="C37" s="5">
        <v>46039</v>
      </c>
      <c r="D37" s="6">
        <v>0.70833333333333304</v>
      </c>
      <c r="E37" t="s">
        <v>65</v>
      </c>
      <c r="F37" s="9">
        <v>2</v>
      </c>
      <c r="G37">
        <v>3</v>
      </c>
      <c r="S37">
        <f t="shared" si="5"/>
        <v>9</v>
      </c>
      <c r="T37">
        <f t="shared" si="6"/>
        <v>20</v>
      </c>
      <c r="U37" s="4" t="str">
        <f t="shared" si="7"/>
        <v>9-20</v>
      </c>
    </row>
    <row r="38" spans="1:21" x14ac:dyDescent="0.25">
      <c r="A38" s="4">
        <v>14</v>
      </c>
      <c r="B38" s="4" t="s">
        <v>67</v>
      </c>
      <c r="C38" s="5">
        <v>46039</v>
      </c>
      <c r="D38" s="6">
        <v>0.70833333333333304</v>
      </c>
      <c r="E38" t="s">
        <v>65</v>
      </c>
      <c r="F38" s="9">
        <v>2</v>
      </c>
      <c r="G38">
        <v>2</v>
      </c>
      <c r="R38" s="29"/>
      <c r="S38">
        <f t="shared" si="5"/>
        <v>9</v>
      </c>
      <c r="T38">
        <f t="shared" si="6"/>
        <v>20</v>
      </c>
      <c r="U38" s="4" t="str">
        <f t="shared" si="7"/>
        <v>9-20</v>
      </c>
    </row>
    <row r="39" spans="1:21" x14ac:dyDescent="0.25">
      <c r="A39" s="4">
        <v>14</v>
      </c>
      <c r="B39" s="4" t="s">
        <v>67</v>
      </c>
      <c r="C39" s="5">
        <v>46039</v>
      </c>
      <c r="D39" s="6">
        <v>0.70833333333333304</v>
      </c>
      <c r="E39" t="s">
        <v>65</v>
      </c>
      <c r="F39" s="17">
        <v>2</v>
      </c>
      <c r="G39" s="18">
        <v>2</v>
      </c>
      <c r="S39">
        <f t="shared" si="5"/>
        <v>9</v>
      </c>
      <c r="T39">
        <f t="shared" si="6"/>
        <v>20</v>
      </c>
      <c r="U39" s="4" t="str">
        <f t="shared" si="7"/>
        <v>9-20</v>
      </c>
    </row>
    <row r="40" spans="1:21" x14ac:dyDescent="0.25">
      <c r="A40" s="4">
        <v>14</v>
      </c>
      <c r="B40" s="4" t="s">
        <v>67</v>
      </c>
      <c r="C40" s="5">
        <v>46039</v>
      </c>
      <c r="D40" s="6">
        <v>0.70833333333333304</v>
      </c>
      <c r="E40" t="s">
        <v>65</v>
      </c>
      <c r="F40" s="9">
        <v>2</v>
      </c>
      <c r="G40">
        <v>1</v>
      </c>
      <c r="S40">
        <f t="shared" si="5"/>
        <v>9</v>
      </c>
      <c r="T40">
        <f t="shared" si="6"/>
        <v>20</v>
      </c>
      <c r="U40" s="4" t="str">
        <f t="shared" si="7"/>
        <v>9-20</v>
      </c>
    </row>
    <row r="41" spans="1:21" s="20" customFormat="1" x14ac:dyDescent="0.25">
      <c r="A41" s="4">
        <v>14</v>
      </c>
      <c r="B41" s="4" t="s">
        <v>67</v>
      </c>
      <c r="C41" s="5">
        <v>46039</v>
      </c>
      <c r="D41" s="6">
        <v>0.70833333333333304</v>
      </c>
      <c r="E41" t="s">
        <v>65</v>
      </c>
      <c r="F41" s="21">
        <v>2</v>
      </c>
      <c r="G41" s="20">
        <v>1</v>
      </c>
      <c r="S41">
        <f t="shared" si="5"/>
        <v>9</v>
      </c>
      <c r="T41">
        <f t="shared" si="6"/>
        <v>20</v>
      </c>
      <c r="U41" s="4" t="str">
        <f t="shared" si="7"/>
        <v>9-20</v>
      </c>
    </row>
    <row r="42" spans="1:21" x14ac:dyDescent="0.25">
      <c r="A42" s="4">
        <v>14</v>
      </c>
      <c r="B42" s="4" t="s">
        <v>67</v>
      </c>
      <c r="C42" s="5">
        <v>46039</v>
      </c>
      <c r="D42" s="6">
        <v>0.70833333333333304</v>
      </c>
      <c r="E42" t="s">
        <v>65</v>
      </c>
      <c r="F42" s="9">
        <v>2</v>
      </c>
      <c r="G42">
        <v>0</v>
      </c>
      <c r="S42">
        <f t="shared" si="5"/>
        <v>9</v>
      </c>
      <c r="T42">
        <f t="shared" si="6"/>
        <v>20</v>
      </c>
      <c r="U42" s="4" t="str">
        <f t="shared" si="7"/>
        <v>9-20</v>
      </c>
    </row>
    <row r="43" spans="1:21" s="8" customFormat="1" x14ac:dyDescent="0.25">
      <c r="A43" s="4">
        <v>14</v>
      </c>
      <c r="B43" s="4" t="s">
        <v>67</v>
      </c>
      <c r="C43" s="5">
        <v>46039</v>
      </c>
      <c r="D43" s="6">
        <v>0.70833333333333304</v>
      </c>
      <c r="E43" t="s">
        <v>65</v>
      </c>
      <c r="F43" s="19">
        <v>2</v>
      </c>
      <c r="G43" s="8">
        <v>0</v>
      </c>
      <c r="S43">
        <f t="shared" si="5"/>
        <v>9</v>
      </c>
      <c r="T43">
        <f t="shared" si="6"/>
        <v>20</v>
      </c>
      <c r="U43" s="4" t="str">
        <f t="shared" si="7"/>
        <v>9-20</v>
      </c>
    </row>
    <row r="44" spans="1:21" s="8" customFormat="1" x14ac:dyDescent="0.25">
      <c r="A44" s="4">
        <v>14</v>
      </c>
      <c r="B44" s="4" t="s">
        <v>67</v>
      </c>
      <c r="C44" s="5">
        <v>46039</v>
      </c>
      <c r="D44" s="6">
        <v>0.70833333333333304</v>
      </c>
      <c r="E44" t="s">
        <v>65</v>
      </c>
      <c r="F44" s="19">
        <v>2</v>
      </c>
      <c r="G44" s="8">
        <v>0</v>
      </c>
      <c r="S44">
        <f t="shared" si="5"/>
        <v>9</v>
      </c>
      <c r="T44">
        <f t="shared" si="6"/>
        <v>20</v>
      </c>
      <c r="U44" s="4" t="str">
        <f t="shared" si="7"/>
        <v>9-20</v>
      </c>
    </row>
    <row r="45" spans="1:21" s="9" customFormat="1" x14ac:dyDescent="0.25">
      <c r="A45" s="4">
        <v>14</v>
      </c>
      <c r="B45" s="4" t="s">
        <v>67</v>
      </c>
      <c r="C45" s="5">
        <v>46039</v>
      </c>
      <c r="D45" s="6">
        <v>0.70833333333333304</v>
      </c>
      <c r="E45" t="s">
        <v>65</v>
      </c>
      <c r="F45" s="19">
        <v>2</v>
      </c>
      <c r="G45" s="9">
        <v>0</v>
      </c>
      <c r="M45" s="19"/>
      <c r="N45" s="19"/>
      <c r="O45" s="19"/>
      <c r="P45" s="19"/>
      <c r="S45">
        <f t="shared" si="5"/>
        <v>9</v>
      </c>
      <c r="T45">
        <f t="shared" si="6"/>
        <v>20</v>
      </c>
      <c r="U45" s="4" t="str">
        <f t="shared" si="7"/>
        <v>9-20</v>
      </c>
    </row>
    <row r="46" spans="1:21" x14ac:dyDescent="0.25">
      <c r="A46" s="4">
        <v>14</v>
      </c>
      <c r="B46" s="4" t="s">
        <v>67</v>
      </c>
      <c r="C46" s="5">
        <v>46039</v>
      </c>
      <c r="D46" s="6">
        <v>0.70833333333333304</v>
      </c>
      <c r="E46" t="s">
        <v>65</v>
      </c>
      <c r="F46" s="10">
        <v>3</v>
      </c>
      <c r="G46">
        <v>9</v>
      </c>
      <c r="S46">
        <f t="shared" si="5"/>
        <v>9</v>
      </c>
      <c r="T46">
        <f t="shared" si="6"/>
        <v>20</v>
      </c>
      <c r="U46" s="4" t="str">
        <f t="shared" si="7"/>
        <v>9-20</v>
      </c>
    </row>
    <row r="47" spans="1:21" x14ac:dyDescent="0.25">
      <c r="A47" s="4">
        <v>14</v>
      </c>
      <c r="B47" s="4" t="s">
        <v>67</v>
      </c>
      <c r="C47" s="5">
        <v>46039</v>
      </c>
      <c r="D47" s="6">
        <v>0.70833333333333304</v>
      </c>
      <c r="E47" t="s">
        <v>65</v>
      </c>
      <c r="F47" s="10">
        <v>3</v>
      </c>
      <c r="G47">
        <v>9</v>
      </c>
      <c r="S47">
        <f t="shared" si="5"/>
        <v>9</v>
      </c>
      <c r="T47">
        <f t="shared" si="6"/>
        <v>20</v>
      </c>
      <c r="U47" s="4" t="str">
        <f t="shared" si="7"/>
        <v>9-20</v>
      </c>
    </row>
    <row r="48" spans="1:21" x14ac:dyDescent="0.25">
      <c r="A48" s="4">
        <v>14</v>
      </c>
      <c r="B48" s="4" t="s">
        <v>67</v>
      </c>
      <c r="C48" s="5">
        <v>46039</v>
      </c>
      <c r="D48" s="6">
        <v>0.70833333333333304</v>
      </c>
      <c r="E48" t="s">
        <v>65</v>
      </c>
      <c r="F48" s="10">
        <v>3</v>
      </c>
      <c r="G48">
        <v>8</v>
      </c>
      <c r="S48">
        <f t="shared" si="5"/>
        <v>9</v>
      </c>
      <c r="T48">
        <f t="shared" si="6"/>
        <v>20</v>
      </c>
      <c r="U48" s="4" t="str">
        <f t="shared" si="7"/>
        <v>9-20</v>
      </c>
    </row>
    <row r="49" spans="1:21" x14ac:dyDescent="0.25">
      <c r="A49" s="4">
        <v>14</v>
      </c>
      <c r="B49" s="4" t="s">
        <v>67</v>
      </c>
      <c r="C49" s="5">
        <v>46039</v>
      </c>
      <c r="D49" s="6">
        <v>0.70833333333333304</v>
      </c>
      <c r="E49" t="s">
        <v>65</v>
      </c>
      <c r="F49" s="10">
        <v>3</v>
      </c>
      <c r="G49">
        <v>8</v>
      </c>
      <c r="S49">
        <f t="shared" si="5"/>
        <v>9</v>
      </c>
      <c r="T49">
        <f t="shared" si="6"/>
        <v>20</v>
      </c>
      <c r="U49" s="4" t="str">
        <f t="shared" si="7"/>
        <v>9-20</v>
      </c>
    </row>
    <row r="50" spans="1:21" x14ac:dyDescent="0.25">
      <c r="A50" s="4">
        <v>14</v>
      </c>
      <c r="B50" s="4" t="s">
        <v>67</v>
      </c>
      <c r="C50" s="5">
        <v>46039</v>
      </c>
      <c r="D50" s="6">
        <v>0.70833333333333304</v>
      </c>
      <c r="E50" t="s">
        <v>65</v>
      </c>
      <c r="F50" s="10">
        <v>3</v>
      </c>
      <c r="G50">
        <v>7</v>
      </c>
      <c r="S50">
        <f t="shared" si="5"/>
        <v>9</v>
      </c>
      <c r="T50">
        <f t="shared" si="6"/>
        <v>20</v>
      </c>
      <c r="U50" s="4" t="str">
        <f t="shared" si="7"/>
        <v>9-20</v>
      </c>
    </row>
    <row r="51" spans="1:21" x14ac:dyDescent="0.25">
      <c r="A51" s="4">
        <v>14</v>
      </c>
      <c r="B51" s="4" t="s">
        <v>67</v>
      </c>
      <c r="C51" s="5">
        <v>46039</v>
      </c>
      <c r="D51" s="6">
        <v>0.70833333333333304</v>
      </c>
      <c r="E51" t="s">
        <v>65</v>
      </c>
      <c r="F51" s="10">
        <v>3</v>
      </c>
      <c r="G51">
        <v>7</v>
      </c>
      <c r="S51">
        <f t="shared" si="5"/>
        <v>9</v>
      </c>
      <c r="T51">
        <f t="shared" si="6"/>
        <v>20</v>
      </c>
      <c r="U51" s="4" t="str">
        <f t="shared" si="7"/>
        <v>9-20</v>
      </c>
    </row>
    <row r="52" spans="1:21" x14ac:dyDescent="0.25">
      <c r="A52" s="4">
        <v>14</v>
      </c>
      <c r="B52" s="4" t="s">
        <v>67</v>
      </c>
      <c r="C52" s="5">
        <v>46039</v>
      </c>
      <c r="D52" s="6">
        <v>0.70833333333333304</v>
      </c>
      <c r="E52" t="s">
        <v>65</v>
      </c>
      <c r="F52" s="10">
        <v>3</v>
      </c>
      <c r="G52">
        <v>7</v>
      </c>
      <c r="S52">
        <f t="shared" si="5"/>
        <v>9</v>
      </c>
      <c r="T52">
        <f t="shared" si="6"/>
        <v>20</v>
      </c>
      <c r="U52" s="4" t="str">
        <f t="shared" si="7"/>
        <v>9-20</v>
      </c>
    </row>
    <row r="53" spans="1:21" x14ac:dyDescent="0.25">
      <c r="A53" s="4">
        <v>14</v>
      </c>
      <c r="B53" s="4" t="s">
        <v>67</v>
      </c>
      <c r="C53" s="5">
        <v>46039</v>
      </c>
      <c r="D53" s="6">
        <v>0.70833333333333304</v>
      </c>
      <c r="E53" t="s">
        <v>65</v>
      </c>
      <c r="F53" s="10">
        <v>3</v>
      </c>
      <c r="G53">
        <v>6</v>
      </c>
      <c r="S53">
        <f t="shared" si="5"/>
        <v>9</v>
      </c>
      <c r="T53">
        <f t="shared" si="6"/>
        <v>20</v>
      </c>
      <c r="U53" s="4" t="str">
        <f t="shared" si="7"/>
        <v>9-20</v>
      </c>
    </row>
    <row r="54" spans="1:21" x14ac:dyDescent="0.25">
      <c r="A54" s="4">
        <v>14</v>
      </c>
      <c r="B54" s="4" t="s">
        <v>67</v>
      </c>
      <c r="C54" s="5">
        <v>46039</v>
      </c>
      <c r="D54" s="6">
        <v>0.70833333333333304</v>
      </c>
      <c r="E54" t="s">
        <v>65</v>
      </c>
      <c r="F54" s="10">
        <v>3</v>
      </c>
      <c r="G54">
        <v>6</v>
      </c>
      <c r="Q54" s="24"/>
      <c r="S54">
        <f t="shared" si="5"/>
        <v>9</v>
      </c>
      <c r="T54">
        <f t="shared" si="6"/>
        <v>20</v>
      </c>
      <c r="U54" s="4" t="str">
        <f t="shared" si="7"/>
        <v>9-20</v>
      </c>
    </row>
    <row r="55" spans="1:21" x14ac:dyDescent="0.25">
      <c r="A55" s="4">
        <v>14</v>
      </c>
      <c r="B55" s="4" t="s">
        <v>67</v>
      </c>
      <c r="C55" s="5">
        <v>46039</v>
      </c>
      <c r="D55" s="6">
        <v>0.70833333333333304</v>
      </c>
      <c r="E55" t="s">
        <v>65</v>
      </c>
      <c r="F55" s="10">
        <v>3</v>
      </c>
      <c r="G55">
        <v>5</v>
      </c>
      <c r="S55">
        <f t="shared" si="5"/>
        <v>9</v>
      </c>
      <c r="T55">
        <f t="shared" si="6"/>
        <v>20</v>
      </c>
      <c r="U55" s="4" t="str">
        <f t="shared" si="7"/>
        <v>9-20</v>
      </c>
    </row>
    <row r="56" spans="1:21" x14ac:dyDescent="0.25">
      <c r="A56" s="4">
        <v>14</v>
      </c>
      <c r="B56" s="4" t="s">
        <v>67</v>
      </c>
      <c r="C56" s="5">
        <v>46039</v>
      </c>
      <c r="D56" s="6">
        <v>0.70833333333333304</v>
      </c>
      <c r="E56" t="s">
        <v>65</v>
      </c>
      <c r="F56" s="10">
        <v>3</v>
      </c>
      <c r="G56">
        <v>5</v>
      </c>
      <c r="S56">
        <f t="shared" si="5"/>
        <v>9</v>
      </c>
      <c r="T56">
        <f t="shared" si="6"/>
        <v>20</v>
      </c>
      <c r="U56" s="4" t="str">
        <f t="shared" si="7"/>
        <v>9-20</v>
      </c>
    </row>
    <row r="57" spans="1:21" x14ac:dyDescent="0.25">
      <c r="A57" s="4">
        <v>14</v>
      </c>
      <c r="B57" s="4" t="s">
        <v>67</v>
      </c>
      <c r="C57" s="5">
        <v>46039</v>
      </c>
      <c r="D57" s="6">
        <v>0.70833333333333304</v>
      </c>
      <c r="E57" t="s">
        <v>65</v>
      </c>
      <c r="F57" s="10">
        <v>3</v>
      </c>
      <c r="G57">
        <v>4</v>
      </c>
      <c r="S57">
        <f t="shared" si="5"/>
        <v>9</v>
      </c>
      <c r="T57">
        <f t="shared" si="6"/>
        <v>20</v>
      </c>
      <c r="U57" s="4" t="str">
        <f t="shared" si="7"/>
        <v>9-20</v>
      </c>
    </row>
    <row r="58" spans="1:21" x14ac:dyDescent="0.25">
      <c r="A58" s="4">
        <v>14</v>
      </c>
      <c r="B58" s="4" t="s">
        <v>67</v>
      </c>
      <c r="C58" s="5">
        <v>46039</v>
      </c>
      <c r="D58" s="6">
        <v>0.70833333333333304</v>
      </c>
      <c r="E58" t="s">
        <v>65</v>
      </c>
      <c r="F58" s="10">
        <v>3</v>
      </c>
      <c r="G58">
        <v>4</v>
      </c>
      <c r="S58">
        <f t="shared" si="5"/>
        <v>9</v>
      </c>
      <c r="T58">
        <f t="shared" si="6"/>
        <v>20</v>
      </c>
      <c r="U58" s="4" t="str">
        <f t="shared" si="7"/>
        <v>9-20</v>
      </c>
    </row>
    <row r="59" spans="1:21" x14ac:dyDescent="0.25">
      <c r="A59" s="4">
        <v>14</v>
      </c>
      <c r="B59" s="4" t="s">
        <v>67</v>
      </c>
      <c r="C59" s="5">
        <v>46039</v>
      </c>
      <c r="D59" s="6">
        <v>0.70833333333333304</v>
      </c>
      <c r="E59" t="s">
        <v>65</v>
      </c>
      <c r="F59" s="10">
        <v>3</v>
      </c>
      <c r="G59">
        <v>3</v>
      </c>
      <c r="S59">
        <f t="shared" si="5"/>
        <v>9</v>
      </c>
      <c r="T59">
        <f t="shared" si="6"/>
        <v>20</v>
      </c>
      <c r="U59" s="4" t="str">
        <f t="shared" si="7"/>
        <v>9-20</v>
      </c>
    </row>
    <row r="60" spans="1:21" x14ac:dyDescent="0.25">
      <c r="A60" s="4">
        <v>14</v>
      </c>
      <c r="B60" s="4" t="s">
        <v>67</v>
      </c>
      <c r="C60" s="5">
        <v>46039</v>
      </c>
      <c r="D60" s="6">
        <v>0.70833333333333304</v>
      </c>
      <c r="E60" t="s">
        <v>65</v>
      </c>
      <c r="F60" s="10">
        <v>3</v>
      </c>
      <c r="G60">
        <v>3</v>
      </c>
      <c r="S60">
        <f t="shared" si="5"/>
        <v>9</v>
      </c>
      <c r="T60">
        <f t="shared" si="6"/>
        <v>20</v>
      </c>
      <c r="U60" s="4" t="str">
        <f t="shared" si="7"/>
        <v>9-20</v>
      </c>
    </row>
    <row r="61" spans="1:21" x14ac:dyDescent="0.25">
      <c r="A61" s="4">
        <v>14</v>
      </c>
      <c r="B61" s="4" t="s">
        <v>67</v>
      </c>
      <c r="C61" s="5">
        <v>46039</v>
      </c>
      <c r="D61" s="6">
        <v>0.70833333333333304</v>
      </c>
      <c r="E61" t="s">
        <v>65</v>
      </c>
      <c r="F61" s="10">
        <v>3</v>
      </c>
      <c r="G61">
        <v>2</v>
      </c>
      <c r="S61">
        <f t="shared" si="5"/>
        <v>9</v>
      </c>
      <c r="T61">
        <f t="shared" si="6"/>
        <v>20</v>
      </c>
      <c r="U61" s="4" t="str">
        <f t="shared" si="7"/>
        <v>9-20</v>
      </c>
    </row>
    <row r="62" spans="1:21" x14ac:dyDescent="0.25">
      <c r="A62" s="4">
        <v>14</v>
      </c>
      <c r="B62" s="4" t="s">
        <v>67</v>
      </c>
      <c r="C62" s="5">
        <v>46039</v>
      </c>
      <c r="D62" s="6">
        <v>0.70833333333333304</v>
      </c>
      <c r="E62" t="s">
        <v>65</v>
      </c>
      <c r="F62" s="10">
        <v>3</v>
      </c>
      <c r="G62">
        <v>2</v>
      </c>
      <c r="S62">
        <f t="shared" si="5"/>
        <v>9</v>
      </c>
      <c r="T62">
        <f t="shared" si="6"/>
        <v>20</v>
      </c>
      <c r="U62" s="4" t="str">
        <f t="shared" si="7"/>
        <v>9-20</v>
      </c>
    </row>
    <row r="63" spans="1:21" x14ac:dyDescent="0.25">
      <c r="A63" s="4">
        <v>14</v>
      </c>
      <c r="B63" s="4" t="s">
        <v>67</v>
      </c>
      <c r="C63" s="5">
        <v>46039</v>
      </c>
      <c r="D63" s="6">
        <v>0.70833333333333304</v>
      </c>
      <c r="E63" t="s">
        <v>65</v>
      </c>
      <c r="F63" s="10">
        <v>3</v>
      </c>
      <c r="G63">
        <v>1</v>
      </c>
      <c r="S63">
        <f t="shared" si="5"/>
        <v>9</v>
      </c>
      <c r="T63">
        <f t="shared" si="6"/>
        <v>20</v>
      </c>
      <c r="U63" s="4" t="str">
        <f t="shared" si="7"/>
        <v>9-20</v>
      </c>
    </row>
    <row r="64" spans="1:21" x14ac:dyDescent="0.25">
      <c r="A64" s="4">
        <v>14</v>
      </c>
      <c r="B64" s="4" t="s">
        <v>67</v>
      </c>
      <c r="C64" s="5">
        <v>46039</v>
      </c>
      <c r="D64" s="6">
        <v>0.70833333333333304</v>
      </c>
      <c r="E64" t="s">
        <v>65</v>
      </c>
      <c r="F64" s="10">
        <v>3</v>
      </c>
      <c r="G64">
        <v>1</v>
      </c>
      <c r="S64">
        <f t="shared" si="5"/>
        <v>9</v>
      </c>
      <c r="T64">
        <f t="shared" si="6"/>
        <v>20</v>
      </c>
      <c r="U64" s="4" t="str">
        <f t="shared" si="7"/>
        <v>9-20</v>
      </c>
    </row>
    <row r="65" spans="1:21" x14ac:dyDescent="0.25">
      <c r="A65" s="4">
        <v>14</v>
      </c>
      <c r="B65" s="4" t="s">
        <v>67</v>
      </c>
      <c r="C65" s="5">
        <v>46039</v>
      </c>
      <c r="D65" s="6">
        <v>0.70833333333333304</v>
      </c>
      <c r="E65" t="s">
        <v>65</v>
      </c>
      <c r="F65" s="10">
        <v>3</v>
      </c>
      <c r="G65">
        <v>0</v>
      </c>
      <c r="S65">
        <f t="shared" si="5"/>
        <v>9</v>
      </c>
      <c r="T65">
        <f t="shared" si="6"/>
        <v>20</v>
      </c>
      <c r="U65" s="4" t="str">
        <f t="shared" si="7"/>
        <v>9-20</v>
      </c>
    </row>
    <row r="66" spans="1:21" s="22" customFormat="1" x14ac:dyDescent="0.25">
      <c r="A66" s="4">
        <v>14</v>
      </c>
      <c r="B66" s="4" t="s">
        <v>67</v>
      </c>
      <c r="C66" s="5">
        <v>46039</v>
      </c>
      <c r="D66" s="6">
        <v>0.70833333333333304</v>
      </c>
      <c r="E66" t="s">
        <v>65</v>
      </c>
      <c r="F66" s="22">
        <v>3</v>
      </c>
      <c r="G66" s="22">
        <v>0</v>
      </c>
      <c r="M66" s="23"/>
      <c r="S66">
        <f t="shared" si="5"/>
        <v>9</v>
      </c>
      <c r="T66">
        <f t="shared" si="6"/>
        <v>20</v>
      </c>
      <c r="U66" s="4" t="str">
        <f t="shared" si="7"/>
        <v>9-20</v>
      </c>
    </row>
    <row r="67" spans="1:21" x14ac:dyDescent="0.25">
      <c r="A67" s="4">
        <v>14</v>
      </c>
      <c r="B67" s="4" t="s">
        <v>67</v>
      </c>
      <c r="C67" s="5">
        <v>46039</v>
      </c>
      <c r="D67" s="6">
        <v>0.70833333333333304</v>
      </c>
      <c r="E67" t="s">
        <v>65</v>
      </c>
      <c r="F67" s="11">
        <v>4</v>
      </c>
      <c r="G67">
        <v>9</v>
      </c>
      <c r="S67">
        <f t="shared" si="5"/>
        <v>9</v>
      </c>
      <c r="T67">
        <f t="shared" si="6"/>
        <v>20</v>
      </c>
      <c r="U67" s="4" t="str">
        <f t="shared" si="7"/>
        <v>9-20</v>
      </c>
    </row>
    <row r="68" spans="1:21" x14ac:dyDescent="0.25">
      <c r="A68" s="4">
        <v>14</v>
      </c>
      <c r="B68" s="4" t="s">
        <v>67</v>
      </c>
      <c r="C68" s="5">
        <v>46039</v>
      </c>
      <c r="D68" s="6">
        <v>0.70833333333333304</v>
      </c>
      <c r="E68" t="s">
        <v>65</v>
      </c>
      <c r="F68" s="11">
        <v>4</v>
      </c>
      <c r="G68">
        <v>9</v>
      </c>
      <c r="S68">
        <f t="shared" si="5"/>
        <v>9</v>
      </c>
      <c r="T68">
        <f t="shared" si="6"/>
        <v>20</v>
      </c>
      <c r="U68" s="4" t="str">
        <f t="shared" si="7"/>
        <v>9-20</v>
      </c>
    </row>
    <row r="69" spans="1:21" x14ac:dyDescent="0.25">
      <c r="A69" s="4">
        <v>14</v>
      </c>
      <c r="B69" s="4" t="s">
        <v>67</v>
      </c>
      <c r="C69" s="5">
        <v>46039</v>
      </c>
      <c r="D69" s="6">
        <v>0.70833333333333304</v>
      </c>
      <c r="E69" t="s">
        <v>65</v>
      </c>
      <c r="F69" s="11">
        <v>4</v>
      </c>
      <c r="G69">
        <v>9</v>
      </c>
      <c r="S69">
        <f t="shared" si="5"/>
        <v>9</v>
      </c>
      <c r="T69">
        <f t="shared" si="6"/>
        <v>20</v>
      </c>
      <c r="U69" s="4" t="str">
        <f t="shared" si="7"/>
        <v>9-20</v>
      </c>
    </row>
    <row r="70" spans="1:21" s="8" customFormat="1" x14ac:dyDescent="0.25">
      <c r="A70" s="4">
        <v>14</v>
      </c>
      <c r="B70" s="4" t="s">
        <v>67</v>
      </c>
      <c r="C70" s="5">
        <v>46039</v>
      </c>
      <c r="D70" s="6">
        <v>0.70833333333333304</v>
      </c>
      <c r="E70" t="s">
        <v>65</v>
      </c>
      <c r="F70" s="12">
        <v>4</v>
      </c>
      <c r="G70" s="8">
        <v>8</v>
      </c>
      <c r="H70"/>
      <c r="I70"/>
      <c r="J70"/>
      <c r="K70"/>
      <c r="L70"/>
      <c r="M70"/>
      <c r="N70"/>
      <c r="O70"/>
      <c r="P70"/>
      <c r="Q70"/>
      <c r="R70"/>
      <c r="S70">
        <f t="shared" si="5"/>
        <v>9</v>
      </c>
      <c r="T70">
        <f t="shared" si="6"/>
        <v>20</v>
      </c>
      <c r="U70" s="4" t="str">
        <f t="shared" si="7"/>
        <v>9-20</v>
      </c>
    </row>
    <row r="71" spans="1:21" x14ac:dyDescent="0.25">
      <c r="A71" s="4">
        <v>14</v>
      </c>
      <c r="B71" s="4" t="s">
        <v>67</v>
      </c>
      <c r="C71" s="5">
        <v>46039</v>
      </c>
      <c r="D71" s="6">
        <v>0.70833333333333304</v>
      </c>
      <c r="E71" t="s">
        <v>65</v>
      </c>
      <c r="F71" s="11">
        <v>4</v>
      </c>
      <c r="G71">
        <v>8</v>
      </c>
      <c r="S71">
        <f t="shared" si="5"/>
        <v>9</v>
      </c>
      <c r="T71">
        <f t="shared" si="6"/>
        <v>20</v>
      </c>
      <c r="U71" s="4" t="str">
        <f t="shared" si="7"/>
        <v>9-20</v>
      </c>
    </row>
    <row r="72" spans="1:21" x14ac:dyDescent="0.25">
      <c r="A72" s="4">
        <v>14</v>
      </c>
      <c r="B72" s="4" t="s">
        <v>67</v>
      </c>
      <c r="C72" s="5">
        <v>46039</v>
      </c>
      <c r="D72" s="6">
        <v>0.70833333333333304</v>
      </c>
      <c r="E72" t="s">
        <v>65</v>
      </c>
      <c r="F72" s="11">
        <v>4</v>
      </c>
      <c r="G72">
        <v>7</v>
      </c>
      <c r="S72">
        <f t="shared" si="5"/>
        <v>9</v>
      </c>
      <c r="T72">
        <f t="shared" si="6"/>
        <v>20</v>
      </c>
      <c r="U72" s="4" t="str">
        <f t="shared" si="7"/>
        <v>9-20</v>
      </c>
    </row>
    <row r="73" spans="1:21" x14ac:dyDescent="0.25">
      <c r="A73" s="4">
        <v>14</v>
      </c>
      <c r="B73" s="4" t="s">
        <v>67</v>
      </c>
      <c r="C73" s="5">
        <v>46039</v>
      </c>
      <c r="D73" s="6">
        <v>0.70833333333333304</v>
      </c>
      <c r="E73" t="s">
        <v>65</v>
      </c>
      <c r="F73" s="11">
        <v>4</v>
      </c>
      <c r="G73">
        <v>7</v>
      </c>
      <c r="S73">
        <f t="shared" si="5"/>
        <v>9</v>
      </c>
      <c r="T73">
        <f t="shared" si="6"/>
        <v>20</v>
      </c>
      <c r="U73" s="4" t="str">
        <f t="shared" si="7"/>
        <v>9-20</v>
      </c>
    </row>
    <row r="74" spans="1:21" x14ac:dyDescent="0.25">
      <c r="A74" s="4">
        <v>14</v>
      </c>
      <c r="B74" s="4" t="s">
        <v>67</v>
      </c>
      <c r="C74" s="5">
        <v>46039</v>
      </c>
      <c r="D74" s="6">
        <v>0.70833333333333304</v>
      </c>
      <c r="E74" t="s">
        <v>65</v>
      </c>
      <c r="F74" s="11">
        <v>4</v>
      </c>
      <c r="G74">
        <v>7</v>
      </c>
      <c r="S74">
        <f t="shared" si="5"/>
        <v>9</v>
      </c>
      <c r="T74">
        <f t="shared" si="6"/>
        <v>20</v>
      </c>
      <c r="U74" s="4" t="str">
        <f t="shared" si="7"/>
        <v>9-20</v>
      </c>
    </row>
    <row r="75" spans="1:21" x14ac:dyDescent="0.25">
      <c r="A75" s="4">
        <v>14</v>
      </c>
      <c r="B75" s="4" t="s">
        <v>67</v>
      </c>
      <c r="C75" s="5">
        <v>46039</v>
      </c>
      <c r="D75" s="6">
        <v>0.70833333333333304</v>
      </c>
      <c r="E75" t="s">
        <v>65</v>
      </c>
      <c r="F75" s="11">
        <v>4</v>
      </c>
      <c r="G75">
        <v>6</v>
      </c>
      <c r="S75">
        <f t="shared" si="5"/>
        <v>9</v>
      </c>
      <c r="T75">
        <f t="shared" si="6"/>
        <v>20</v>
      </c>
      <c r="U75" s="4" t="str">
        <f t="shared" si="7"/>
        <v>9-20</v>
      </c>
    </row>
    <row r="76" spans="1:21" s="8" customFormat="1" x14ac:dyDescent="0.25">
      <c r="A76" s="4">
        <v>14</v>
      </c>
      <c r="B76" s="4" t="s">
        <v>67</v>
      </c>
      <c r="C76" s="5">
        <v>46039</v>
      </c>
      <c r="D76" s="6">
        <v>0.70833333333333304</v>
      </c>
      <c r="E76" t="s">
        <v>65</v>
      </c>
      <c r="F76" s="12">
        <v>4</v>
      </c>
      <c r="G76">
        <v>6</v>
      </c>
      <c r="H76"/>
      <c r="I76"/>
      <c r="J76"/>
      <c r="K76"/>
      <c r="L76"/>
      <c r="M76"/>
      <c r="N76"/>
      <c r="O76"/>
      <c r="P76"/>
      <c r="Q76"/>
      <c r="R76"/>
      <c r="S76">
        <f t="shared" si="5"/>
        <v>9</v>
      </c>
      <c r="T76">
        <f t="shared" si="6"/>
        <v>20</v>
      </c>
      <c r="U76" s="4" t="str">
        <f t="shared" si="7"/>
        <v>9-20</v>
      </c>
    </row>
    <row r="77" spans="1:21" x14ac:dyDescent="0.25">
      <c r="A77" s="4">
        <v>14</v>
      </c>
      <c r="B77" s="4" t="s">
        <v>67</v>
      </c>
      <c r="C77" s="5">
        <v>46039</v>
      </c>
      <c r="D77" s="6">
        <v>0.70833333333333304</v>
      </c>
      <c r="E77" t="s">
        <v>65</v>
      </c>
      <c r="F77" s="11">
        <v>4</v>
      </c>
      <c r="G77">
        <v>6</v>
      </c>
      <c r="S77">
        <f t="shared" si="5"/>
        <v>9</v>
      </c>
      <c r="T77">
        <f t="shared" si="6"/>
        <v>20</v>
      </c>
      <c r="U77" s="4" t="str">
        <f t="shared" si="7"/>
        <v>9-20</v>
      </c>
    </row>
    <row r="78" spans="1:21" x14ac:dyDescent="0.25">
      <c r="A78" s="4">
        <v>14</v>
      </c>
      <c r="B78" s="4" t="s">
        <v>67</v>
      </c>
      <c r="C78" s="5">
        <v>46039</v>
      </c>
      <c r="D78" s="6">
        <v>0.70833333333333304</v>
      </c>
      <c r="E78" t="s">
        <v>65</v>
      </c>
      <c r="F78" s="11">
        <v>4</v>
      </c>
      <c r="G78">
        <v>5</v>
      </c>
      <c r="S78">
        <f t="shared" si="5"/>
        <v>9</v>
      </c>
      <c r="T78">
        <f t="shared" si="6"/>
        <v>20</v>
      </c>
      <c r="U78" s="4" t="str">
        <f t="shared" si="7"/>
        <v>9-20</v>
      </c>
    </row>
    <row r="79" spans="1:21" x14ac:dyDescent="0.25">
      <c r="A79" s="4">
        <v>14</v>
      </c>
      <c r="B79" s="4" t="s">
        <v>67</v>
      </c>
      <c r="C79" s="5">
        <v>46039</v>
      </c>
      <c r="D79" s="6">
        <v>0.70833333333333304</v>
      </c>
      <c r="E79" t="s">
        <v>65</v>
      </c>
      <c r="F79" s="11">
        <v>4</v>
      </c>
      <c r="G79">
        <v>4</v>
      </c>
      <c r="S79">
        <f t="shared" si="5"/>
        <v>9</v>
      </c>
      <c r="T79">
        <f t="shared" si="6"/>
        <v>20</v>
      </c>
      <c r="U79" s="4" t="str">
        <f t="shared" si="7"/>
        <v>9-20</v>
      </c>
    </row>
    <row r="80" spans="1:21" x14ac:dyDescent="0.25">
      <c r="A80" s="4">
        <v>14</v>
      </c>
      <c r="B80" s="4" t="s">
        <v>67</v>
      </c>
      <c r="C80" s="5">
        <v>46039</v>
      </c>
      <c r="D80" s="6">
        <v>0.70833333333333304</v>
      </c>
      <c r="E80" t="s">
        <v>65</v>
      </c>
      <c r="F80" s="11">
        <v>4</v>
      </c>
      <c r="G80">
        <v>4</v>
      </c>
      <c r="S80">
        <f t="shared" si="5"/>
        <v>9</v>
      </c>
      <c r="T80">
        <f t="shared" si="6"/>
        <v>20</v>
      </c>
      <c r="U80" s="4" t="str">
        <f t="shared" si="7"/>
        <v>9-20</v>
      </c>
    </row>
    <row r="81" spans="1:21" x14ac:dyDescent="0.25">
      <c r="A81" s="4">
        <v>14</v>
      </c>
      <c r="B81" s="4" t="s">
        <v>67</v>
      </c>
      <c r="C81" s="5">
        <v>46039</v>
      </c>
      <c r="D81" s="6">
        <v>0.70833333333333304</v>
      </c>
      <c r="E81" t="s">
        <v>65</v>
      </c>
      <c r="F81" s="11">
        <v>4</v>
      </c>
      <c r="G81">
        <v>4</v>
      </c>
      <c r="S81">
        <f t="shared" si="5"/>
        <v>9</v>
      </c>
      <c r="T81">
        <f t="shared" si="6"/>
        <v>20</v>
      </c>
      <c r="U81" s="4" t="str">
        <f t="shared" si="7"/>
        <v>9-20</v>
      </c>
    </row>
    <row r="82" spans="1:21" x14ac:dyDescent="0.25">
      <c r="A82" s="4">
        <v>14</v>
      </c>
      <c r="B82" s="4" t="s">
        <v>67</v>
      </c>
      <c r="C82" s="5">
        <v>46039</v>
      </c>
      <c r="D82" s="6">
        <v>0.70833333333333304</v>
      </c>
      <c r="E82" t="s">
        <v>65</v>
      </c>
      <c r="F82" s="11">
        <v>4</v>
      </c>
      <c r="G82">
        <v>3</v>
      </c>
      <c r="S82">
        <f t="shared" si="5"/>
        <v>9</v>
      </c>
      <c r="T82">
        <f t="shared" si="6"/>
        <v>20</v>
      </c>
      <c r="U82" s="4" t="str">
        <f t="shared" si="7"/>
        <v>9-20</v>
      </c>
    </row>
    <row r="83" spans="1:21" x14ac:dyDescent="0.25">
      <c r="A83" s="4">
        <v>14</v>
      </c>
      <c r="B83" s="4" t="s">
        <v>67</v>
      </c>
      <c r="C83" s="5">
        <v>46039</v>
      </c>
      <c r="D83" s="6">
        <v>0.70833333333333304</v>
      </c>
      <c r="E83" t="s">
        <v>65</v>
      </c>
      <c r="F83" s="11">
        <v>4</v>
      </c>
      <c r="G83">
        <v>3</v>
      </c>
      <c r="S83">
        <f t="shared" si="5"/>
        <v>9</v>
      </c>
      <c r="T83">
        <f t="shared" si="6"/>
        <v>20</v>
      </c>
      <c r="U83" s="4" t="str">
        <f t="shared" si="7"/>
        <v>9-20</v>
      </c>
    </row>
    <row r="84" spans="1:21" x14ac:dyDescent="0.25">
      <c r="A84" s="4">
        <v>14</v>
      </c>
      <c r="B84" s="4" t="s">
        <v>67</v>
      </c>
      <c r="C84" s="5">
        <v>46039</v>
      </c>
      <c r="D84" s="6">
        <v>0.70833333333333304</v>
      </c>
      <c r="E84" t="s">
        <v>65</v>
      </c>
      <c r="F84" s="11">
        <v>4</v>
      </c>
      <c r="G84">
        <v>3</v>
      </c>
      <c r="S84">
        <f t="shared" si="5"/>
        <v>9</v>
      </c>
      <c r="T84">
        <f t="shared" si="6"/>
        <v>20</v>
      </c>
      <c r="U84" s="4" t="str">
        <f t="shared" si="7"/>
        <v>9-20</v>
      </c>
    </row>
    <row r="85" spans="1:21" x14ac:dyDescent="0.25">
      <c r="A85" s="4">
        <v>14</v>
      </c>
      <c r="B85" s="4" t="s">
        <v>67</v>
      </c>
      <c r="C85" s="5">
        <v>46039</v>
      </c>
      <c r="D85" s="6">
        <v>0.70833333333333304</v>
      </c>
      <c r="E85" t="s">
        <v>65</v>
      </c>
      <c r="F85" s="11">
        <v>4</v>
      </c>
      <c r="G85">
        <v>3</v>
      </c>
      <c r="S85">
        <f t="shared" si="5"/>
        <v>9</v>
      </c>
      <c r="T85">
        <f t="shared" si="6"/>
        <v>20</v>
      </c>
      <c r="U85" s="4" t="str">
        <f t="shared" si="7"/>
        <v>9-20</v>
      </c>
    </row>
    <row r="86" spans="1:21" s="8" customFormat="1" x14ac:dyDescent="0.25">
      <c r="A86" s="4">
        <v>14</v>
      </c>
      <c r="B86" s="4" t="s">
        <v>67</v>
      </c>
      <c r="C86" s="5">
        <v>46039</v>
      </c>
      <c r="D86" s="6">
        <v>0.70833333333333304</v>
      </c>
      <c r="E86" t="s">
        <v>65</v>
      </c>
      <c r="F86" s="12">
        <v>4</v>
      </c>
      <c r="G86" s="8">
        <v>3</v>
      </c>
      <c r="S86">
        <f t="shared" si="5"/>
        <v>9</v>
      </c>
      <c r="T86">
        <f t="shared" si="6"/>
        <v>20</v>
      </c>
      <c r="U86" s="4" t="str">
        <f t="shared" si="7"/>
        <v>9-20</v>
      </c>
    </row>
    <row r="87" spans="1:21" x14ac:dyDescent="0.25">
      <c r="A87" s="4">
        <v>14</v>
      </c>
      <c r="B87" s="4" t="s">
        <v>67</v>
      </c>
      <c r="C87" s="5">
        <v>46039</v>
      </c>
      <c r="D87" s="6">
        <v>0.70833333333333304</v>
      </c>
      <c r="E87" t="s">
        <v>65</v>
      </c>
      <c r="F87" s="11">
        <v>4</v>
      </c>
      <c r="G87">
        <v>2</v>
      </c>
      <c r="S87">
        <f t="shared" si="5"/>
        <v>9</v>
      </c>
      <c r="T87">
        <f t="shared" si="6"/>
        <v>20</v>
      </c>
      <c r="U87" s="4" t="str">
        <f t="shared" si="7"/>
        <v>9-20</v>
      </c>
    </row>
    <row r="88" spans="1:21" x14ac:dyDescent="0.25">
      <c r="A88" s="4">
        <v>14</v>
      </c>
      <c r="B88" s="4" t="s">
        <v>67</v>
      </c>
      <c r="C88" s="5">
        <v>46039</v>
      </c>
      <c r="D88" s="6">
        <v>0.70833333333333304</v>
      </c>
      <c r="E88" t="s">
        <v>65</v>
      </c>
      <c r="F88" s="11">
        <v>4</v>
      </c>
      <c r="G88">
        <v>1</v>
      </c>
      <c r="S88">
        <f t="shared" ref="S88:S92" si="8">S87+Q88</f>
        <v>9</v>
      </c>
      <c r="T88">
        <f t="shared" ref="T88:T92" si="9">T87+R88</f>
        <v>20</v>
      </c>
      <c r="U88" s="4" t="str">
        <f t="shared" ref="U88:U92" si="10">S88&amp;"-"&amp;T88</f>
        <v>9-20</v>
      </c>
    </row>
    <row r="89" spans="1:21" x14ac:dyDescent="0.25">
      <c r="A89" s="4">
        <v>14</v>
      </c>
      <c r="B89" s="4" t="s">
        <v>67</v>
      </c>
      <c r="C89" s="5">
        <v>46039</v>
      </c>
      <c r="D89" s="6">
        <v>0.70833333333333304</v>
      </c>
      <c r="E89" t="s">
        <v>65</v>
      </c>
      <c r="F89" s="11">
        <v>4</v>
      </c>
      <c r="G89">
        <v>1</v>
      </c>
      <c r="S89">
        <f t="shared" si="8"/>
        <v>9</v>
      </c>
      <c r="T89">
        <f t="shared" si="9"/>
        <v>20</v>
      </c>
      <c r="U89" s="4" t="str">
        <f t="shared" si="10"/>
        <v>9-20</v>
      </c>
    </row>
    <row r="90" spans="1:21" s="8" customFormat="1" x14ac:dyDescent="0.25">
      <c r="A90" s="4">
        <v>14</v>
      </c>
      <c r="B90" s="4" t="s">
        <v>67</v>
      </c>
      <c r="C90" s="5">
        <v>46039</v>
      </c>
      <c r="D90" s="6">
        <v>0.70833333333333304</v>
      </c>
      <c r="E90" t="s">
        <v>65</v>
      </c>
      <c r="F90" s="12">
        <v>4</v>
      </c>
      <c r="G90" s="8">
        <v>1</v>
      </c>
      <c r="S90">
        <f t="shared" si="8"/>
        <v>9</v>
      </c>
      <c r="T90">
        <f t="shared" si="9"/>
        <v>20</v>
      </c>
      <c r="U90" s="4" t="str">
        <f t="shared" si="10"/>
        <v>9-20</v>
      </c>
    </row>
    <row r="91" spans="1:21" s="11" customFormat="1" x14ac:dyDescent="0.25">
      <c r="A91" s="4">
        <v>14</v>
      </c>
      <c r="B91" s="4" t="s">
        <v>67</v>
      </c>
      <c r="C91" s="5">
        <v>46039</v>
      </c>
      <c r="D91" s="6">
        <v>0.70833333333333304</v>
      </c>
      <c r="E91" t="s">
        <v>65</v>
      </c>
      <c r="F91" s="11">
        <v>4</v>
      </c>
      <c r="G91">
        <v>1</v>
      </c>
      <c r="H91"/>
      <c r="I91"/>
      <c r="J91"/>
      <c r="K91"/>
      <c r="L91"/>
      <c r="M91"/>
      <c r="N91"/>
      <c r="O91"/>
      <c r="P91"/>
      <c r="Q91"/>
      <c r="R91"/>
      <c r="S91">
        <f t="shared" si="8"/>
        <v>9</v>
      </c>
      <c r="T91">
        <f t="shared" si="9"/>
        <v>20</v>
      </c>
      <c r="U91" s="4" t="str">
        <f t="shared" si="10"/>
        <v>9-20</v>
      </c>
    </row>
    <row r="92" spans="1:21" s="11" customFormat="1" x14ac:dyDescent="0.25">
      <c r="A92" s="4">
        <v>14</v>
      </c>
      <c r="B92" s="4" t="s">
        <v>67</v>
      </c>
      <c r="C92" s="5">
        <v>46039</v>
      </c>
      <c r="D92" s="6">
        <v>0.70833333333333304</v>
      </c>
      <c r="E92" t="s">
        <v>65</v>
      </c>
      <c r="F92" s="11">
        <v>4</v>
      </c>
      <c r="G92" s="11">
        <v>1</v>
      </c>
      <c r="S92">
        <f t="shared" si="8"/>
        <v>9</v>
      </c>
      <c r="T92">
        <f t="shared" si="9"/>
        <v>20</v>
      </c>
      <c r="U92" s="4" t="str">
        <f t="shared" si="10"/>
        <v>9-20</v>
      </c>
    </row>
    <row r="93" spans="1:21" x14ac:dyDescent="0.25">
      <c r="A93" s="4"/>
      <c r="C93" s="5"/>
      <c r="D93" s="6"/>
    </row>
    <row r="94" spans="1:21" x14ac:dyDescent="0.25">
      <c r="C94" s="5"/>
      <c r="D94" s="6"/>
    </row>
    <row r="95" spans="1:21" x14ac:dyDescent="0.25">
      <c r="A95" s="4"/>
      <c r="C95" s="5"/>
      <c r="D95" s="6"/>
    </row>
    <row r="96" spans="1:21" x14ac:dyDescent="0.25">
      <c r="A96" s="4"/>
      <c r="C96" s="5"/>
      <c r="D96" s="6"/>
    </row>
    <row r="100" spans="6:6" x14ac:dyDescent="0.25">
      <c r="F100" s="4"/>
    </row>
  </sheetData>
  <autoFilter ref="A1:AB96" xr:uid="{93034ED9-F3C0-42F8-8C99-E681B16A3183}"/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5DD6F-704A-4599-99D1-494CAE00F7DC}">
  <dimension ref="C4:G9"/>
  <sheetViews>
    <sheetView zoomScale="154" workbookViewId="0">
      <selection sqref="A1:G1048576"/>
    </sheetView>
  </sheetViews>
  <sheetFormatPr baseColWidth="10" defaultRowHeight="15" x14ac:dyDescent="0.25"/>
  <cols>
    <col min="3" max="3" width="15" customWidth="1"/>
    <col min="5" max="5" width="15.5703125" customWidth="1"/>
    <col min="6" max="6" width="12.85546875" customWidth="1"/>
    <col min="7" max="7" width="13.140625" customWidth="1"/>
  </cols>
  <sheetData>
    <row r="4" spans="3:7" x14ac:dyDescent="0.25">
      <c r="C4" s="13" t="s">
        <v>48</v>
      </c>
      <c r="D4" s="15" t="s">
        <v>30</v>
      </c>
      <c r="E4" s="15" t="s">
        <v>49</v>
      </c>
      <c r="F4" s="16" t="s">
        <v>32</v>
      </c>
      <c r="G4" s="16" t="s">
        <v>50</v>
      </c>
    </row>
    <row r="5" spans="3:7" x14ac:dyDescent="0.25">
      <c r="C5">
        <v>1</v>
      </c>
      <c r="D5">
        <v>0</v>
      </c>
      <c r="E5">
        <v>0</v>
      </c>
      <c r="F5">
        <v>3</v>
      </c>
      <c r="G5">
        <v>1</v>
      </c>
    </row>
    <row r="6" spans="3:7" x14ac:dyDescent="0.25">
      <c r="C6">
        <v>2</v>
      </c>
      <c r="D6">
        <v>5</v>
      </c>
      <c r="E6">
        <v>0</v>
      </c>
      <c r="F6">
        <v>6</v>
      </c>
      <c r="G6">
        <v>4</v>
      </c>
    </row>
    <row r="7" spans="3:7" x14ac:dyDescent="0.25">
      <c r="C7">
        <v>3</v>
      </c>
      <c r="D7">
        <v>5</v>
      </c>
      <c r="E7">
        <v>4</v>
      </c>
      <c r="F7">
        <v>5</v>
      </c>
      <c r="G7">
        <v>3</v>
      </c>
    </row>
    <row r="8" spans="3:7" x14ac:dyDescent="0.25">
      <c r="C8">
        <v>4</v>
      </c>
      <c r="D8">
        <v>2</v>
      </c>
      <c r="E8">
        <v>0</v>
      </c>
      <c r="F8">
        <v>1</v>
      </c>
      <c r="G8">
        <v>0</v>
      </c>
    </row>
    <row r="9" spans="3:7" x14ac:dyDescent="0.25">
      <c r="C9" s="14" t="s">
        <v>51</v>
      </c>
      <c r="D9" s="13">
        <f>SUM(D5:D8)</f>
        <v>12</v>
      </c>
      <c r="E9" s="13">
        <f t="shared" ref="E9:G9" si="0">SUM(E5:E8)</f>
        <v>4</v>
      </c>
      <c r="F9" s="13">
        <f t="shared" si="0"/>
        <v>15</v>
      </c>
      <c r="G9" s="13">
        <f t="shared" si="0"/>
        <v>8</v>
      </c>
    </row>
  </sheetData>
  <autoFilter ref="A1:G98" xr:uid="{78B5DD6F-704A-4599-99D1-494CAE00F7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FERRER, ANNA (DIR.ECO.GES)</dc:creator>
  <cp:lastModifiedBy>FERRER, ANNA (DIR.ECO.GES)</cp:lastModifiedBy>
  <dcterms:created xsi:type="dcterms:W3CDTF">2025-10-27T10:43:28Z</dcterms:created>
  <dcterms:modified xsi:type="dcterms:W3CDTF">2026-01-21T14:32:05Z</dcterms:modified>
</cp:coreProperties>
</file>