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8AB462C7-E149-448A-AD05-DA525FD52B56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Hoja1!$A$1:$AD$100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6" i="1" l="1"/>
  <c r="S106" i="1"/>
  <c r="U106" i="1" s="1"/>
  <c r="S101" i="1"/>
  <c r="S102" i="1" s="1"/>
  <c r="T101" i="1"/>
  <c r="T102" i="1" s="1"/>
  <c r="T103" i="1" s="1"/>
  <c r="T104" i="1" s="1"/>
  <c r="T105" i="1" s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S2" i="1"/>
  <c r="L9" i="2"/>
  <c r="M9" i="2"/>
  <c r="N9" i="2"/>
  <c r="K9" i="2"/>
  <c r="U102" i="1" l="1"/>
  <c r="S103" i="1"/>
  <c r="U101" i="1"/>
  <c r="T17" i="1"/>
  <c r="U2" i="1"/>
  <c r="S3" i="1"/>
  <c r="S4" i="1" s="1"/>
  <c r="S5" i="1" s="1"/>
  <c r="S6" i="1" s="1"/>
  <c r="S7" i="1" s="1"/>
  <c r="S8" i="1" s="1"/>
  <c r="S9" i="1" s="1"/>
  <c r="S104" i="1" l="1"/>
  <c r="U103" i="1"/>
  <c r="T18" i="1"/>
  <c r="S10" i="1"/>
  <c r="U10" i="1" s="1"/>
  <c r="U9" i="1"/>
  <c r="U6" i="1"/>
  <c r="U4" i="1"/>
  <c r="U7" i="1"/>
  <c r="U5" i="1"/>
  <c r="U3" i="1"/>
  <c r="U8" i="1"/>
  <c r="U104" i="1" l="1"/>
  <c r="S105" i="1"/>
  <c r="U105" i="1" s="1"/>
  <c r="T19" i="1"/>
  <c r="S11" i="1"/>
  <c r="S12" i="1" s="1"/>
  <c r="U12" i="1" s="1"/>
  <c r="T20" i="1" l="1"/>
  <c r="U11" i="1"/>
  <c r="S13" i="1"/>
  <c r="U13" i="1" s="1"/>
  <c r="T21" i="1" l="1"/>
  <c r="T22" i="1" s="1"/>
  <c r="S14" i="1"/>
  <c r="U14" i="1" s="1"/>
  <c r="T23" i="1" l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S15" i="1"/>
  <c r="T67" i="1" l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U15" i="1"/>
  <c r="S16" i="1"/>
  <c r="T78" i="1" l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S17" i="1"/>
  <c r="U16" i="1"/>
  <c r="S18" i="1" l="1"/>
  <c r="U17" i="1"/>
  <c r="S19" i="1" l="1"/>
  <c r="U18" i="1"/>
  <c r="S20" i="1" l="1"/>
  <c r="U19" i="1"/>
  <c r="S21" i="1" l="1"/>
  <c r="S22" i="1" s="1"/>
  <c r="U20" i="1"/>
  <c r="S23" i="1" l="1"/>
  <c r="U22" i="1"/>
  <c r="U21" i="1"/>
  <c r="S24" i="1" l="1"/>
  <c r="U23" i="1"/>
  <c r="S25" i="1" l="1"/>
  <c r="U24" i="1"/>
  <c r="S26" i="1" l="1"/>
  <c r="U25" i="1"/>
  <c r="S27" i="1" l="1"/>
  <c r="U26" i="1"/>
  <c r="U27" i="1" l="1"/>
  <c r="S28" i="1"/>
  <c r="U28" i="1" l="1"/>
  <c r="S29" i="1"/>
  <c r="U29" i="1" l="1"/>
  <c r="S30" i="1"/>
  <c r="U30" i="1" l="1"/>
  <c r="S31" i="1"/>
  <c r="U31" i="1" l="1"/>
  <c r="S32" i="1"/>
  <c r="U32" i="1" l="1"/>
  <c r="S33" i="1"/>
  <c r="U33" i="1" l="1"/>
  <c r="S34" i="1"/>
  <c r="S35" i="1" l="1"/>
  <c r="U34" i="1"/>
  <c r="S36" i="1" l="1"/>
  <c r="U35" i="1"/>
  <c r="S37" i="1" l="1"/>
  <c r="U36" i="1"/>
  <c r="U37" i="1" l="1"/>
  <c r="S38" i="1"/>
  <c r="U38" i="1" l="1"/>
  <c r="S39" i="1"/>
  <c r="U39" i="1" l="1"/>
  <c r="S40" i="1"/>
  <c r="S41" i="1" l="1"/>
  <c r="U40" i="1"/>
  <c r="U41" i="1" l="1"/>
  <c r="S42" i="1"/>
  <c r="S43" i="1" l="1"/>
  <c r="U42" i="1"/>
  <c r="S44" i="1" l="1"/>
  <c r="U43" i="1"/>
  <c r="S45" i="1" l="1"/>
  <c r="U44" i="1"/>
  <c r="S46" i="1" l="1"/>
  <c r="U45" i="1"/>
  <c r="U46" i="1" l="1"/>
  <c r="S47" i="1"/>
  <c r="U47" i="1" l="1"/>
  <c r="S48" i="1"/>
  <c r="S49" i="1" l="1"/>
  <c r="U48" i="1"/>
  <c r="U49" i="1" l="1"/>
  <c r="S50" i="1"/>
  <c r="S51" i="1" s="1"/>
  <c r="S52" i="1" l="1"/>
  <c r="U51" i="1"/>
  <c r="U50" i="1"/>
  <c r="S53" i="1" l="1"/>
  <c r="U52" i="1"/>
  <c r="S54" i="1" l="1"/>
  <c r="U53" i="1"/>
  <c r="S55" i="1" l="1"/>
  <c r="U54" i="1"/>
  <c r="U55" i="1" l="1"/>
  <c r="S56" i="1"/>
  <c r="U56" i="1" l="1"/>
  <c r="S57" i="1"/>
  <c r="U57" i="1" l="1"/>
  <c r="S58" i="1"/>
  <c r="U58" i="1" l="1"/>
  <c r="S59" i="1"/>
  <c r="U59" i="1" l="1"/>
  <c r="S60" i="1"/>
  <c r="U60" i="1" l="1"/>
  <c r="S61" i="1"/>
  <c r="S62" i="1" l="1"/>
  <c r="U61" i="1"/>
  <c r="U62" i="1" l="1"/>
  <c r="S63" i="1"/>
  <c r="U63" i="1" l="1"/>
  <c r="S64" i="1"/>
  <c r="U64" i="1" l="1"/>
  <c r="S65" i="1"/>
  <c r="U65" i="1" l="1"/>
  <c r="S66" i="1"/>
  <c r="S67" i="1" l="1"/>
  <c r="U66" i="1"/>
  <c r="U67" i="1" l="1"/>
  <c r="S68" i="1"/>
  <c r="U68" i="1" l="1"/>
  <c r="S69" i="1"/>
  <c r="U69" i="1" l="1"/>
  <c r="S70" i="1"/>
  <c r="U70" i="1" l="1"/>
  <c r="S71" i="1"/>
  <c r="S72" i="1" l="1"/>
  <c r="U71" i="1"/>
  <c r="U72" i="1" l="1"/>
  <c r="S73" i="1"/>
  <c r="S74" i="1" l="1"/>
  <c r="U73" i="1"/>
  <c r="S75" i="1" l="1"/>
  <c r="U74" i="1"/>
  <c r="S76" i="1" l="1"/>
  <c r="U75" i="1"/>
  <c r="U76" i="1" l="1"/>
  <c r="S77" i="1"/>
  <c r="S78" i="1" l="1"/>
  <c r="U77" i="1"/>
  <c r="S79" i="1" l="1"/>
  <c r="U78" i="1"/>
  <c r="S80" i="1" l="1"/>
  <c r="U79" i="1"/>
  <c r="S81" i="1" l="1"/>
  <c r="U80" i="1"/>
  <c r="S82" i="1" l="1"/>
  <c r="U81" i="1"/>
  <c r="U82" i="1" l="1"/>
  <c r="S83" i="1"/>
  <c r="U83" i="1" l="1"/>
  <c r="S84" i="1"/>
  <c r="S85" i="1" l="1"/>
  <c r="U84" i="1"/>
  <c r="U85" i="1" l="1"/>
  <c r="S86" i="1"/>
  <c r="U86" i="1" l="1"/>
  <c r="S87" i="1"/>
  <c r="U87" i="1" l="1"/>
  <c r="S88" i="1"/>
  <c r="U88" i="1" l="1"/>
  <c r="S89" i="1"/>
  <c r="U89" i="1" l="1"/>
  <c r="S90" i="1"/>
  <c r="U90" i="1" l="1"/>
  <c r="S91" i="1"/>
  <c r="U91" i="1" l="1"/>
  <c r="S92" i="1"/>
  <c r="S93" i="1" l="1"/>
  <c r="U92" i="1"/>
  <c r="U93" i="1" l="1"/>
  <c r="S94" i="1"/>
  <c r="S95" i="1" l="1"/>
  <c r="U94" i="1"/>
  <c r="U95" i="1" l="1"/>
  <c r="S96" i="1"/>
  <c r="U96" i="1" l="1"/>
  <c r="S97" i="1"/>
  <c r="U97" i="1" l="1"/>
  <c r="S98" i="1"/>
  <c r="U98" i="1" l="1"/>
  <c r="S99" i="1"/>
  <c r="U99" i="1" l="1"/>
  <c r="S100" i="1"/>
  <c r="U100" i="1" l="1"/>
</calcChain>
</file>

<file path=xl/sharedStrings.xml><?xml version="1.0" encoding="utf-8"?>
<sst xmlns="http://schemas.openxmlformats.org/spreadsheetml/2006/main" count="1239" uniqueCount="87">
  <si>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</si>
  <si>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</si>
  <si>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</si>
  <si>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</si>
  <si>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</si>
  <si>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</si>
  <si>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</si>
  <si>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</si>
  <si>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</si>
  <si>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</si>
  <si>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</si>
  <si>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</si>
  <si>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</si>
  <si>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</si>
  <si>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</si>
  <si>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</si>
  <si>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</si>
  <si>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</si>
  <si>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</si>
  <si>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</si>
  <si>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</si>
  <si>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</si>
  <si>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</si>
  <si>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</si>
  <si>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</si>
  <si>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</si>
  <si>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</si>
  <si>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</si>
  <si>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</si>
  <si>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</si>
  <si>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t2c</t>
  </si>
  <si>
    <t>Punts RO a favor</t>
  </si>
  <si>
    <t>pèrdua</t>
  </si>
  <si>
    <t>falta</t>
  </si>
  <si>
    <t>Període</t>
  </si>
  <si>
    <t>PF de RO a favor</t>
  </si>
  <si>
    <t>PF de RO en contra</t>
  </si>
  <si>
    <t>total</t>
  </si>
  <si>
    <t>Cojo</t>
  </si>
  <si>
    <t>Tapia</t>
  </si>
  <si>
    <t>Mar</t>
  </si>
  <si>
    <t>contratac</t>
  </si>
  <si>
    <t>Jové</t>
  </si>
  <si>
    <t>Masa</t>
  </si>
  <si>
    <t>t3f</t>
  </si>
  <si>
    <t>Bernal</t>
  </si>
  <si>
    <t>t3c</t>
  </si>
  <si>
    <t>Local</t>
  </si>
  <si>
    <t>Ivet</t>
  </si>
  <si>
    <t>Tàctica defensiva</t>
  </si>
  <si>
    <t>2 plus</t>
  </si>
  <si>
    <t>falta (tll)</t>
  </si>
  <si>
    <t>Desenllaç</t>
  </si>
  <si>
    <t>punts</t>
  </si>
  <si>
    <t>zona 2</t>
  </si>
  <si>
    <t>individual</t>
  </si>
  <si>
    <t>DISHELEC 65 VILADECANS</t>
  </si>
  <si>
    <t>cojo</t>
  </si>
  <si>
    <t>tac30</t>
  </si>
  <si>
    <t>fons 21</t>
  </si>
  <si>
    <t>dana</t>
  </si>
  <si>
    <t>play</t>
  </si>
  <si>
    <t>marina</t>
  </si>
  <si>
    <t>tac35</t>
  </si>
  <si>
    <t>RO</t>
  </si>
  <si>
    <t>tierno</t>
  </si>
  <si>
    <t>tapia</t>
  </si>
  <si>
    <t>siena</t>
  </si>
  <si>
    <t>lliure</t>
  </si>
  <si>
    <t>zona 4</t>
  </si>
  <si>
    <t>go</t>
  </si>
  <si>
    <t>banda 35</t>
  </si>
  <si>
    <t>masa</t>
  </si>
  <si>
    <t>mar</t>
  </si>
  <si>
    <t>lado</t>
  </si>
  <si>
    <t>jové</t>
  </si>
  <si>
    <t>CD</t>
  </si>
  <si>
    <t>ivet</t>
  </si>
  <si>
    <t>final</t>
  </si>
  <si>
    <t>2 mano</t>
  </si>
  <si>
    <t>bernal</t>
  </si>
  <si>
    <t>fons zeta</t>
  </si>
  <si>
    <t>pissarra</t>
  </si>
  <si>
    <t>cuatro</t>
  </si>
  <si>
    <t>fons</t>
  </si>
  <si>
    <t>-</t>
  </si>
  <si>
    <t>cinco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</si>
</sst>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20" fontId="3" fillId="0" borderId="0" xfId="0" applyNumberFormat="1" applyFont="1"/>
    <xf numFmtId="0" fontId="0" fillId="0" borderId="0" xfId="0" quotePrefix="1"/>
    <xf numFmtId="0" fontId="8" fillId="0" borderId="0" xfId="0" applyFont="1" applyAlignment="1">
      <alignment horizontal="center" vertical="center"/>
    </xf>
    <xf numFmtId="20" fontId="8" fillId="0" borderId="0" xfId="0" applyNumberFormat="1" applyFont="1"/>
    <xf numFmtId="0" fontId="7" fillId="3" borderId="0" xfId="0" applyFont="1" applyFill="1"/>
    <xf numFmtId="0" fontId="2" fillId="0" borderId="2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20" fontId="0" fillId="2" borderId="0" xfId="0" applyNumberFormat="1" applyFill="1"/>
    <xf numFmtId="20" fontId="7" fillId="0" borderId="0" xfId="0" applyNumberFormat="1" applyFont="1"/>
    <xf numFmtId="0" fontId="7" fillId="0" borderId="0" xfId="0" applyFont="1" applyAlignment="1">
      <alignment horizontal="center" vertical="center"/>
    </xf>
    <xf numFmtId="14" fontId="3" fillId="0" borderId="0" xfId="0" applyNumberFormat="1" applyFont="1"/>
    <xf numFmtId="0" fontId="3" fillId="2" borderId="0" xfId="0" applyFont="1" applyFill="1"/>
    <xf numFmtId="14" fontId="0" fillId="2" borderId="0" xfId="0" applyNumberFormat="1" applyFill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20" fontId="4" fillId="0" borderId="0" xfId="0" applyNumberFormat="1" applyFont="1"/>
    <xf numFmtId="0" fontId="4" fillId="3" borderId="0" xfId="0" applyFont="1" applyFill="1"/>
    <xf numFmtId="0" fontId="10" fillId="0" borderId="0" xfId="0" applyFont="1" applyAlignment="1">
      <alignment horizontal="center" vertical="center"/>
    </xf>
    <xf numFmtId="14" fontId="10" fillId="0" borderId="0" xfId="0" applyNumberFormat="1" applyFont="1"/>
    <xf numFmtId="20" fontId="10" fillId="0" borderId="0" xfId="0" applyNumberFormat="1" applyFont="1"/>
    <xf numFmtId="0" fontId="10" fillId="0" borderId="0" xfId="0" applyFont="1"/>
    <xf numFmtId="0" fontId="10" fillId="3" borderId="0" xfId="0" applyFont="1" applyFill="1"/>
    <xf numFmtId="0" fontId="3" fillId="4" borderId="0" xfId="0" applyFont="1" applyFill="1"/>
    <xf numFmtId="14" fontId="7" fillId="0" borderId="0" xfId="0" applyNumberFormat="1" applyFont="1"/>
    <xf numFmtId="0" fontId="7" fillId="4" borderId="0" xfId="0" applyFont="1" applyFill="1"/>
    <xf numFmtId="0" fontId="4" fillId="5" borderId="0" xfId="0" applyFont="1" applyFill="1"/>
    <xf numFmtId="0" fontId="10" fillId="5" borderId="0" xfId="0" applyFont="1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  <xf numFmtId="0" fontId="0" fillId="7" borderId="0" xfId="0" applyFill="1"/>
    <xf numFmtId="0" fontId="0" fillId="7" borderId="0" xfId="0" applyFill="1" applyAlignment="1">
      <alignment horizontal="center" vertical="center"/>
    </xf>
    <xf numFmtId="0" fontId="3" fillId="7" borderId="0" xfId="0" applyFont="1" applyFill="1"/>
    <xf numFmtId="14" fontId="8" fillId="0" borderId="0" xfId="0" applyNumberFormat="1" applyFont="1"/>
    <xf numFmtId="0" fontId="8" fillId="7" borderId="0" xfId="0" applyFont="1" applyFill="1"/>
    <xf numFmtId="14" fontId="0" fillId="7" borderId="0" xfId="0" applyNumberFormat="1" applyFill="1"/>
    <xf numFmtId="20" fontId="0" fillId="7" borderId="0" xfId="0" applyNumberFormat="1" applyFill="1"/>
    <xf numFmtId="0" fontId="7" fillId="7" borderId="0" xfId="0" applyFont="1" applyFill="1"/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D109"/>
  <sheetViews>
    <sheetView tabSelected="1" topLeftCell="Q1" zoomScale="115" zoomScaleNormal="115" workbookViewId="0">
      <selection activeCell="AB101" sqref="AB101"/>
    </sheetView>
  </sheetViews>
  <sheetFormatPr baseColWidth="10" defaultRowHeight="15" x14ac:dyDescent="0.25"/>
  <cols>
    <col min="2" max="2" width="14.85546875" customWidth="1"/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31</v>
      </c>
      <c r="AA1" s="3" t="s">
        <v>29</v>
      </c>
      <c r="AB1" s="31" t="s">
        <v>49</v>
      </c>
      <c r="AC1" s="31" t="s">
        <v>52</v>
      </c>
      <c r="AD1" s="31" t="s">
        <v>53</v>
      </c>
    </row>
    <row r="2" spans="1:30" x14ac:dyDescent="0.25">
      <c r="A2" s="4">
        <v>19</v>
      </c>
      <c r="B2" s="4" t="s">
        <v>56</v>
      </c>
      <c r="C2" s="5">
        <v>46081</v>
      </c>
      <c r="D2" s="6">
        <v>0.77083333333333337</v>
      </c>
      <c r="E2" t="s">
        <v>47</v>
      </c>
      <c r="F2" s="7">
        <v>1</v>
      </c>
      <c r="G2">
        <v>9</v>
      </c>
      <c r="H2" t="s">
        <v>21</v>
      </c>
      <c r="I2" t="s">
        <v>39</v>
      </c>
      <c r="J2" t="s">
        <v>22</v>
      </c>
      <c r="K2" t="s">
        <v>38</v>
      </c>
      <c r="L2" t="s">
        <v>24</v>
      </c>
      <c r="M2" t="s">
        <v>58</v>
      </c>
      <c r="N2" t="s">
        <v>23</v>
      </c>
      <c r="P2" t="s">
        <v>57</v>
      </c>
      <c r="Q2">
        <v>0</v>
      </c>
      <c r="R2">
        <v>0</v>
      </c>
      <c r="S2">
        <f>Q2</f>
        <v>0</v>
      </c>
      <c r="T2">
        <f>R2</f>
        <v>0</v>
      </c>
      <c r="U2" s="4" t="str">
        <f>S2&amp;"-"&amp;T2</f>
        <v>0-0</v>
      </c>
      <c r="AB2" t="s">
        <v>55</v>
      </c>
      <c r="AC2" t="s">
        <v>23</v>
      </c>
      <c r="AD2">
        <v>0</v>
      </c>
    </row>
    <row r="3" spans="1:30" x14ac:dyDescent="0.25">
      <c r="A3" s="4">
        <v>19</v>
      </c>
      <c r="B3" s="4" t="s">
        <v>56</v>
      </c>
      <c r="C3" s="5">
        <v>46081</v>
      </c>
      <c r="D3" s="6">
        <v>0.77083333333333337</v>
      </c>
      <c r="E3" t="s">
        <v>47</v>
      </c>
      <c r="F3" s="7">
        <v>1</v>
      </c>
      <c r="G3">
        <v>9</v>
      </c>
      <c r="H3" t="s">
        <v>21</v>
      </c>
      <c r="I3" t="s">
        <v>39</v>
      </c>
      <c r="J3" t="s">
        <v>22</v>
      </c>
      <c r="K3" t="s">
        <v>38</v>
      </c>
      <c r="L3" t="s">
        <v>24</v>
      </c>
      <c r="M3" t="s">
        <v>59</v>
      </c>
      <c r="N3" t="s">
        <v>23</v>
      </c>
      <c r="P3" t="s">
        <v>60</v>
      </c>
      <c r="Q3">
        <v>0</v>
      </c>
      <c r="R3">
        <v>0</v>
      </c>
      <c r="S3">
        <f>S2+Q3</f>
        <v>0</v>
      </c>
      <c r="T3">
        <f>T2+R3</f>
        <v>0</v>
      </c>
      <c r="U3" s="4" t="str">
        <f t="shared" ref="U3:U15" si="0">S3&amp;"-"&amp;T3</f>
        <v>0-0</v>
      </c>
      <c r="AB3" t="s">
        <v>55</v>
      </c>
      <c r="AC3" t="s">
        <v>23</v>
      </c>
      <c r="AD3">
        <v>0</v>
      </c>
    </row>
    <row r="4" spans="1:30" x14ac:dyDescent="0.25">
      <c r="A4" s="4">
        <v>19</v>
      </c>
      <c r="B4" s="4" t="s">
        <v>56</v>
      </c>
      <c r="C4" s="5">
        <v>46081</v>
      </c>
      <c r="D4" s="6">
        <v>0.77083333333333304</v>
      </c>
      <c r="E4" t="s">
        <v>47</v>
      </c>
      <c r="F4" s="7">
        <v>1</v>
      </c>
      <c r="G4">
        <v>9</v>
      </c>
      <c r="H4" t="s">
        <v>21</v>
      </c>
      <c r="I4" t="s">
        <v>39</v>
      </c>
      <c r="J4" t="s">
        <v>22</v>
      </c>
      <c r="K4" t="s">
        <v>38</v>
      </c>
      <c r="L4" t="s">
        <v>24</v>
      </c>
      <c r="M4" t="s">
        <v>61</v>
      </c>
      <c r="N4" t="s">
        <v>44</v>
      </c>
      <c r="P4" t="s">
        <v>62</v>
      </c>
      <c r="Q4">
        <v>0</v>
      </c>
      <c r="R4">
        <v>2</v>
      </c>
      <c r="S4">
        <f t="shared" ref="S4:S15" si="1">S3+Q4</f>
        <v>0</v>
      </c>
      <c r="T4">
        <f t="shared" ref="T4:T15" si="2">T3+R4</f>
        <v>2</v>
      </c>
      <c r="U4" s="4" t="str">
        <f t="shared" si="0"/>
        <v>0-2</v>
      </c>
      <c r="AB4" t="s">
        <v>55</v>
      </c>
      <c r="AC4" t="s">
        <v>44</v>
      </c>
      <c r="AD4">
        <v>0</v>
      </c>
    </row>
    <row r="5" spans="1:30" x14ac:dyDescent="0.25">
      <c r="A5" s="4">
        <v>19</v>
      </c>
      <c r="B5" s="4" t="s">
        <v>56</v>
      </c>
      <c r="C5" s="5">
        <v>46081</v>
      </c>
      <c r="D5" s="6">
        <v>0.77083333333333304</v>
      </c>
      <c r="E5" t="s">
        <v>47</v>
      </c>
      <c r="F5" s="7">
        <v>1</v>
      </c>
      <c r="G5">
        <v>8</v>
      </c>
      <c r="H5" t="s">
        <v>21</v>
      </c>
      <c r="I5" t="s">
        <v>39</v>
      </c>
      <c r="J5" t="s">
        <v>22</v>
      </c>
      <c r="K5" t="s">
        <v>38</v>
      </c>
      <c r="L5" t="s">
        <v>24</v>
      </c>
      <c r="M5" t="s">
        <v>58</v>
      </c>
      <c r="N5" t="s">
        <v>32</v>
      </c>
      <c r="P5" t="s">
        <v>57</v>
      </c>
      <c r="Q5">
        <v>0</v>
      </c>
      <c r="R5">
        <v>0</v>
      </c>
      <c r="S5">
        <f t="shared" si="1"/>
        <v>0</v>
      </c>
      <c r="T5">
        <f t="shared" si="2"/>
        <v>2</v>
      </c>
      <c r="U5" s="4" t="str">
        <f t="shared" si="0"/>
        <v>0-2</v>
      </c>
    </row>
    <row r="6" spans="1:30" x14ac:dyDescent="0.25">
      <c r="A6" s="4">
        <v>19</v>
      </c>
      <c r="B6" s="4" t="s">
        <v>56</v>
      </c>
      <c r="C6" s="5">
        <v>46081</v>
      </c>
      <c r="D6" s="6">
        <v>0.77083333333333304</v>
      </c>
      <c r="E6" t="s">
        <v>47</v>
      </c>
      <c r="F6" s="7">
        <v>1</v>
      </c>
      <c r="G6">
        <v>8</v>
      </c>
      <c r="H6" t="s">
        <v>21</v>
      </c>
      <c r="I6" t="s">
        <v>39</v>
      </c>
      <c r="J6" t="s">
        <v>22</v>
      </c>
      <c r="K6" t="s">
        <v>38</v>
      </c>
      <c r="L6" t="s">
        <v>24</v>
      </c>
      <c r="M6" t="s">
        <v>63</v>
      </c>
      <c r="N6" t="s">
        <v>23</v>
      </c>
      <c r="P6" t="s">
        <v>60</v>
      </c>
      <c r="Q6">
        <v>0</v>
      </c>
      <c r="R6">
        <v>0</v>
      </c>
      <c r="S6">
        <f t="shared" si="1"/>
        <v>0</v>
      </c>
      <c r="T6">
        <f t="shared" si="2"/>
        <v>2</v>
      </c>
      <c r="U6" s="4" t="str">
        <f t="shared" si="0"/>
        <v>0-2</v>
      </c>
    </row>
    <row r="7" spans="1:30" x14ac:dyDescent="0.25">
      <c r="A7" s="4">
        <v>19</v>
      </c>
      <c r="B7" s="4" t="s">
        <v>56</v>
      </c>
      <c r="C7" s="5">
        <v>46081</v>
      </c>
      <c r="D7" s="6">
        <v>0.77083333333333304</v>
      </c>
      <c r="E7" t="s">
        <v>47</v>
      </c>
      <c r="F7" s="7">
        <v>1</v>
      </c>
      <c r="G7">
        <v>7</v>
      </c>
      <c r="H7" t="s">
        <v>21</v>
      </c>
      <c r="I7" t="s">
        <v>39</v>
      </c>
      <c r="J7" t="s">
        <v>22</v>
      </c>
      <c r="K7" t="s">
        <v>38</v>
      </c>
      <c r="L7" t="s">
        <v>24</v>
      </c>
      <c r="M7" t="s">
        <v>41</v>
      </c>
      <c r="N7" t="s">
        <v>23</v>
      </c>
      <c r="P7" t="s">
        <v>65</v>
      </c>
      <c r="Q7">
        <v>0</v>
      </c>
      <c r="R7">
        <v>0</v>
      </c>
      <c r="S7">
        <f t="shared" si="1"/>
        <v>0</v>
      </c>
      <c r="T7">
        <f t="shared" si="2"/>
        <v>2</v>
      </c>
      <c r="U7" s="4" t="str">
        <f t="shared" si="0"/>
        <v>0-2</v>
      </c>
    </row>
    <row r="8" spans="1:30" x14ac:dyDescent="0.25">
      <c r="A8" s="4">
        <v>19</v>
      </c>
      <c r="B8" s="4" t="s">
        <v>56</v>
      </c>
      <c r="C8" s="5">
        <v>46081</v>
      </c>
      <c r="D8" s="6">
        <v>0.77083333333333304</v>
      </c>
      <c r="E8" t="s">
        <v>47</v>
      </c>
      <c r="F8" s="7">
        <v>1</v>
      </c>
      <c r="G8">
        <v>7</v>
      </c>
      <c r="H8" t="s">
        <v>21</v>
      </c>
      <c r="I8" t="s">
        <v>39</v>
      </c>
      <c r="J8" t="s">
        <v>22</v>
      </c>
      <c r="K8" t="s">
        <v>38</v>
      </c>
      <c r="L8" t="s">
        <v>24</v>
      </c>
      <c r="M8" t="s">
        <v>64</v>
      </c>
      <c r="N8" t="s">
        <v>23</v>
      </c>
      <c r="P8" t="s">
        <v>66</v>
      </c>
      <c r="Q8">
        <v>0</v>
      </c>
      <c r="R8">
        <v>2</v>
      </c>
      <c r="S8">
        <f t="shared" si="1"/>
        <v>0</v>
      </c>
      <c r="T8">
        <f t="shared" si="2"/>
        <v>4</v>
      </c>
      <c r="U8" s="4" t="str">
        <f t="shared" si="0"/>
        <v>0-4</v>
      </c>
      <c r="V8">
        <v>1</v>
      </c>
      <c r="AB8" t="s">
        <v>54</v>
      </c>
      <c r="AC8" t="s">
        <v>44</v>
      </c>
      <c r="AD8">
        <v>0</v>
      </c>
    </row>
    <row r="9" spans="1:30" x14ac:dyDescent="0.25">
      <c r="A9" s="4">
        <v>19</v>
      </c>
      <c r="B9" s="4" t="s">
        <v>56</v>
      </c>
      <c r="C9" s="5">
        <v>46081</v>
      </c>
      <c r="D9" s="6">
        <v>0.77083333333333304</v>
      </c>
      <c r="E9" t="s">
        <v>47</v>
      </c>
      <c r="F9" s="7">
        <v>1</v>
      </c>
      <c r="G9">
        <v>7</v>
      </c>
      <c r="H9" t="s">
        <v>21</v>
      </c>
      <c r="I9" t="s">
        <v>39</v>
      </c>
      <c r="J9" t="s">
        <v>22</v>
      </c>
      <c r="K9" t="s">
        <v>38</v>
      </c>
      <c r="L9" t="s">
        <v>24</v>
      </c>
      <c r="M9" t="s">
        <v>67</v>
      </c>
      <c r="N9" t="s">
        <v>23</v>
      </c>
      <c r="P9" t="s">
        <v>62</v>
      </c>
      <c r="Q9">
        <v>0</v>
      </c>
      <c r="R9">
        <v>2</v>
      </c>
      <c r="S9">
        <f t="shared" si="1"/>
        <v>0</v>
      </c>
      <c r="T9">
        <f t="shared" si="2"/>
        <v>6</v>
      </c>
      <c r="U9" s="4" t="str">
        <f t="shared" si="0"/>
        <v>0-6</v>
      </c>
      <c r="AB9" t="s">
        <v>50</v>
      </c>
      <c r="AC9" t="s">
        <v>51</v>
      </c>
      <c r="AD9">
        <v>1</v>
      </c>
    </row>
    <row r="10" spans="1:30" x14ac:dyDescent="0.25">
      <c r="A10" s="4">
        <v>19</v>
      </c>
      <c r="B10" s="4" t="s">
        <v>56</v>
      </c>
      <c r="C10" s="5">
        <v>46081</v>
      </c>
      <c r="D10" s="6">
        <v>0.77083333333333304</v>
      </c>
      <c r="E10" t="s">
        <v>47</v>
      </c>
      <c r="F10" s="7">
        <v>1</v>
      </c>
      <c r="G10">
        <v>6</v>
      </c>
      <c r="H10" t="s">
        <v>21</v>
      </c>
      <c r="I10" t="s">
        <v>39</v>
      </c>
      <c r="J10" t="s">
        <v>22</v>
      </c>
      <c r="K10" t="s">
        <v>38</v>
      </c>
      <c r="L10" t="s">
        <v>24</v>
      </c>
      <c r="M10" t="s">
        <v>68</v>
      </c>
      <c r="N10" t="s">
        <v>46</v>
      </c>
      <c r="P10" t="s">
        <v>65</v>
      </c>
      <c r="Q10">
        <v>3</v>
      </c>
      <c r="R10">
        <v>2</v>
      </c>
      <c r="S10">
        <f t="shared" si="1"/>
        <v>3</v>
      </c>
      <c r="T10">
        <f t="shared" si="2"/>
        <v>8</v>
      </c>
      <c r="U10" s="4" t="str">
        <f t="shared" si="0"/>
        <v>3-8</v>
      </c>
      <c r="X10">
        <v>1</v>
      </c>
      <c r="AA10">
        <v>2</v>
      </c>
      <c r="AB10" t="s">
        <v>50</v>
      </c>
      <c r="AC10" t="s">
        <v>32</v>
      </c>
    </row>
    <row r="11" spans="1:30" x14ac:dyDescent="0.25">
      <c r="A11" s="4">
        <v>19</v>
      </c>
      <c r="B11" s="4" t="s">
        <v>56</v>
      </c>
      <c r="C11" s="5">
        <v>46081</v>
      </c>
      <c r="D11" s="6">
        <v>0.77083333333333304</v>
      </c>
      <c r="E11" t="s">
        <v>47</v>
      </c>
      <c r="F11" s="7">
        <v>1</v>
      </c>
      <c r="G11">
        <v>6</v>
      </c>
      <c r="H11" t="s">
        <v>21</v>
      </c>
      <c r="I11" t="s">
        <v>39</v>
      </c>
      <c r="J11" t="s">
        <v>22</v>
      </c>
      <c r="K11" t="s">
        <v>38</v>
      </c>
      <c r="L11" t="s">
        <v>24</v>
      </c>
      <c r="M11" t="s">
        <v>69</v>
      </c>
      <c r="N11" t="s">
        <v>44</v>
      </c>
      <c r="P11" t="s">
        <v>65</v>
      </c>
      <c r="Q11">
        <v>0</v>
      </c>
      <c r="R11">
        <v>0</v>
      </c>
      <c r="S11">
        <f t="shared" si="1"/>
        <v>3</v>
      </c>
      <c r="T11">
        <f t="shared" si="2"/>
        <v>8</v>
      </c>
      <c r="U11" s="4" t="str">
        <f t="shared" si="0"/>
        <v>3-8</v>
      </c>
      <c r="AB11" t="s">
        <v>50</v>
      </c>
      <c r="AC11" t="s">
        <v>32</v>
      </c>
    </row>
    <row r="12" spans="1:30" x14ac:dyDescent="0.25">
      <c r="A12" s="4">
        <v>19</v>
      </c>
      <c r="B12" s="4" t="s">
        <v>56</v>
      </c>
      <c r="C12" s="5">
        <v>46081</v>
      </c>
      <c r="D12" s="6">
        <v>0.77083333333333304</v>
      </c>
      <c r="E12" t="s">
        <v>47</v>
      </c>
      <c r="F12" s="7">
        <v>1</v>
      </c>
      <c r="G12">
        <v>5</v>
      </c>
      <c r="H12" t="s">
        <v>21</v>
      </c>
      <c r="I12" t="s">
        <v>39</v>
      </c>
      <c r="J12" t="s">
        <v>22</v>
      </c>
      <c r="K12" t="s">
        <v>38</v>
      </c>
      <c r="L12" t="s">
        <v>45</v>
      </c>
      <c r="M12" t="s">
        <v>70</v>
      </c>
      <c r="N12" t="s">
        <v>23</v>
      </c>
      <c r="P12" t="s">
        <v>57</v>
      </c>
      <c r="Q12">
        <v>0</v>
      </c>
      <c r="R12">
        <v>0</v>
      </c>
      <c r="S12">
        <f t="shared" si="1"/>
        <v>3</v>
      </c>
      <c r="T12">
        <f t="shared" si="2"/>
        <v>8</v>
      </c>
      <c r="U12" s="4" t="str">
        <f t="shared" si="0"/>
        <v>3-8</v>
      </c>
    </row>
    <row r="13" spans="1:30" x14ac:dyDescent="0.25">
      <c r="A13" s="4">
        <v>19</v>
      </c>
      <c r="B13" s="4" t="s">
        <v>56</v>
      </c>
      <c r="C13" s="5">
        <v>46081</v>
      </c>
      <c r="D13" s="6">
        <v>0.77083333333333304</v>
      </c>
      <c r="E13" t="s">
        <v>47</v>
      </c>
      <c r="F13" s="7">
        <v>1</v>
      </c>
      <c r="G13">
        <v>5</v>
      </c>
      <c r="H13" t="s">
        <v>21</v>
      </c>
      <c r="I13" t="s">
        <v>39</v>
      </c>
      <c r="J13" t="s">
        <v>22</v>
      </c>
      <c r="K13" t="s">
        <v>38</v>
      </c>
      <c r="L13" t="s">
        <v>45</v>
      </c>
      <c r="M13" t="s">
        <v>64</v>
      </c>
      <c r="N13" t="s">
        <v>23</v>
      </c>
      <c r="P13" t="s">
        <v>62</v>
      </c>
      <c r="Q13">
        <v>0</v>
      </c>
      <c r="R13">
        <v>0</v>
      </c>
      <c r="S13">
        <f t="shared" si="1"/>
        <v>3</v>
      </c>
      <c r="T13">
        <f t="shared" si="2"/>
        <v>8</v>
      </c>
      <c r="U13" s="4" t="str">
        <f t="shared" si="0"/>
        <v>3-8</v>
      </c>
      <c r="V13">
        <v>1</v>
      </c>
      <c r="AB13" t="s">
        <v>50</v>
      </c>
      <c r="AC13" t="s">
        <v>32</v>
      </c>
    </row>
    <row r="14" spans="1:30" x14ac:dyDescent="0.25">
      <c r="A14" s="4">
        <v>19</v>
      </c>
      <c r="B14" s="4" t="s">
        <v>56</v>
      </c>
      <c r="C14" s="5">
        <v>46081</v>
      </c>
      <c r="D14" s="6">
        <v>0.77083333333333304</v>
      </c>
      <c r="E14" t="s">
        <v>47</v>
      </c>
      <c r="F14" s="7">
        <v>1</v>
      </c>
      <c r="G14">
        <v>5</v>
      </c>
      <c r="H14" t="s">
        <v>21</v>
      </c>
      <c r="I14" t="s">
        <v>39</v>
      </c>
      <c r="J14" t="s">
        <v>22</v>
      </c>
      <c r="K14" t="s">
        <v>38</v>
      </c>
      <c r="L14" t="s">
        <v>45</v>
      </c>
      <c r="M14" t="s">
        <v>41</v>
      </c>
      <c r="N14" t="s">
        <v>30</v>
      </c>
      <c r="P14" t="s">
        <v>57</v>
      </c>
      <c r="Q14">
        <v>2</v>
      </c>
      <c r="R14">
        <v>0</v>
      </c>
      <c r="S14">
        <f t="shared" si="1"/>
        <v>5</v>
      </c>
      <c r="T14">
        <f t="shared" si="2"/>
        <v>8</v>
      </c>
      <c r="U14" s="4" t="str">
        <f t="shared" si="0"/>
        <v>5-8</v>
      </c>
      <c r="AB14" t="s">
        <v>50</v>
      </c>
      <c r="AC14" t="s">
        <v>33</v>
      </c>
    </row>
    <row r="15" spans="1:30" x14ac:dyDescent="0.25">
      <c r="A15" s="4">
        <v>19</v>
      </c>
      <c r="B15" s="4" t="s">
        <v>56</v>
      </c>
      <c r="C15" s="5">
        <v>46081</v>
      </c>
      <c r="D15" s="6">
        <v>0.77083333333333304</v>
      </c>
      <c r="E15" t="s">
        <v>47</v>
      </c>
      <c r="F15" s="7">
        <v>1</v>
      </c>
      <c r="G15">
        <v>5</v>
      </c>
      <c r="H15" t="s">
        <v>21</v>
      </c>
      <c r="I15" t="s">
        <v>39</v>
      </c>
      <c r="J15" t="s">
        <v>22</v>
      </c>
      <c r="K15" t="s">
        <v>38</v>
      </c>
      <c r="L15" t="s">
        <v>45</v>
      </c>
      <c r="M15" t="s">
        <v>83</v>
      </c>
      <c r="N15" t="s">
        <v>44</v>
      </c>
      <c r="P15" t="s">
        <v>57</v>
      </c>
      <c r="Q15">
        <v>0</v>
      </c>
      <c r="R15">
        <v>0</v>
      </c>
      <c r="S15">
        <f t="shared" si="1"/>
        <v>5</v>
      </c>
      <c r="T15">
        <f t="shared" si="2"/>
        <v>8</v>
      </c>
      <c r="U15" s="4" t="str">
        <f t="shared" si="0"/>
        <v>5-8</v>
      </c>
      <c r="AB15" t="s">
        <v>54</v>
      </c>
      <c r="AC15" t="s">
        <v>23</v>
      </c>
    </row>
    <row r="16" spans="1:30" x14ac:dyDescent="0.25">
      <c r="A16" s="4">
        <v>19</v>
      </c>
      <c r="B16" s="4" t="s">
        <v>56</v>
      </c>
      <c r="C16" s="5">
        <v>46081</v>
      </c>
      <c r="D16" s="6">
        <v>0.77083333333333304</v>
      </c>
      <c r="E16" t="s">
        <v>47</v>
      </c>
      <c r="F16" s="7">
        <v>1</v>
      </c>
      <c r="G16">
        <v>4</v>
      </c>
      <c r="H16" t="s">
        <v>21</v>
      </c>
      <c r="I16" t="s">
        <v>22</v>
      </c>
      <c r="J16" t="s">
        <v>43</v>
      </c>
      <c r="K16" t="s">
        <v>38</v>
      </c>
      <c r="L16" t="s">
        <v>45</v>
      </c>
      <c r="M16" t="s">
        <v>71</v>
      </c>
      <c r="N16" t="s">
        <v>32</v>
      </c>
      <c r="P16" t="s">
        <v>62</v>
      </c>
      <c r="Q16">
        <v>0</v>
      </c>
      <c r="R16">
        <v>2</v>
      </c>
      <c r="S16">
        <f t="shared" ref="S16:S21" si="3">S15+Q16</f>
        <v>5</v>
      </c>
      <c r="T16">
        <f t="shared" ref="T16:T21" si="4">T15+R16</f>
        <v>10</v>
      </c>
      <c r="U16" s="4" t="str">
        <f t="shared" ref="U16:U21" si="5">S16&amp;"-"&amp;T16</f>
        <v>5-10</v>
      </c>
      <c r="AB16" t="s">
        <v>55</v>
      </c>
      <c r="AC16" t="s">
        <v>33</v>
      </c>
    </row>
    <row r="17" spans="1:30" x14ac:dyDescent="0.25">
      <c r="A17" s="4">
        <v>19</v>
      </c>
      <c r="B17" s="4" t="s">
        <v>56</v>
      </c>
      <c r="C17" s="5">
        <v>46081</v>
      </c>
      <c r="D17" s="6">
        <v>0.77083333333333304</v>
      </c>
      <c r="E17" t="s">
        <v>47</v>
      </c>
      <c r="F17" s="7">
        <v>1</v>
      </c>
      <c r="G17">
        <v>3</v>
      </c>
      <c r="H17" t="s">
        <v>21</v>
      </c>
      <c r="I17" t="s">
        <v>22</v>
      </c>
      <c r="J17" t="s">
        <v>43</v>
      </c>
      <c r="K17" t="s">
        <v>40</v>
      </c>
      <c r="L17" t="s">
        <v>45</v>
      </c>
      <c r="M17" t="s">
        <v>61</v>
      </c>
      <c r="N17" t="s">
        <v>23</v>
      </c>
      <c r="P17" t="s">
        <v>72</v>
      </c>
      <c r="Q17">
        <v>0</v>
      </c>
      <c r="R17">
        <v>0</v>
      </c>
      <c r="S17">
        <f t="shared" si="3"/>
        <v>5</v>
      </c>
      <c r="T17">
        <f t="shared" si="4"/>
        <v>10</v>
      </c>
      <c r="U17" s="4" t="str">
        <f t="shared" si="5"/>
        <v>5-10</v>
      </c>
    </row>
    <row r="18" spans="1:30" x14ac:dyDescent="0.25">
      <c r="A18" s="4">
        <v>19</v>
      </c>
      <c r="B18" s="4" t="s">
        <v>56</v>
      </c>
      <c r="C18" s="5">
        <v>46081</v>
      </c>
      <c r="D18" s="6">
        <v>0.77083333333333304</v>
      </c>
      <c r="E18" t="s">
        <v>47</v>
      </c>
      <c r="F18" s="7">
        <v>1</v>
      </c>
      <c r="G18">
        <v>3</v>
      </c>
      <c r="H18" t="s">
        <v>21</v>
      </c>
      <c r="I18" t="s">
        <v>22</v>
      </c>
      <c r="J18" t="s">
        <v>43</v>
      </c>
      <c r="K18" t="s">
        <v>40</v>
      </c>
      <c r="L18" t="s">
        <v>45</v>
      </c>
      <c r="M18" t="s">
        <v>64</v>
      </c>
      <c r="N18" t="s">
        <v>33</v>
      </c>
      <c r="P18" t="s">
        <v>73</v>
      </c>
      <c r="Q18">
        <v>0</v>
      </c>
      <c r="R18">
        <v>0</v>
      </c>
      <c r="S18">
        <f t="shared" si="3"/>
        <v>5</v>
      </c>
      <c r="T18">
        <f t="shared" si="4"/>
        <v>10</v>
      </c>
      <c r="U18" s="4" t="str">
        <f t="shared" si="5"/>
        <v>5-10</v>
      </c>
      <c r="V18">
        <v>1</v>
      </c>
    </row>
    <row r="19" spans="1:30" x14ac:dyDescent="0.25">
      <c r="A19" s="4">
        <v>19</v>
      </c>
      <c r="B19" s="4" t="s">
        <v>56</v>
      </c>
      <c r="C19" s="5">
        <v>46081</v>
      </c>
      <c r="D19" s="6">
        <v>0.77083333333333304</v>
      </c>
      <c r="E19" t="s">
        <v>47</v>
      </c>
      <c r="F19" s="7">
        <v>1</v>
      </c>
      <c r="G19">
        <v>3</v>
      </c>
      <c r="H19" t="s">
        <v>21</v>
      </c>
      <c r="I19" t="s">
        <v>22</v>
      </c>
      <c r="J19" t="s">
        <v>43</v>
      </c>
      <c r="K19" t="s">
        <v>40</v>
      </c>
      <c r="L19" t="s">
        <v>45</v>
      </c>
      <c r="M19" t="s">
        <v>74</v>
      </c>
      <c r="N19" t="s">
        <v>44</v>
      </c>
      <c r="P19" t="s">
        <v>72</v>
      </c>
      <c r="Q19">
        <v>0</v>
      </c>
      <c r="R19">
        <v>2</v>
      </c>
      <c r="S19">
        <f t="shared" si="3"/>
        <v>5</v>
      </c>
      <c r="T19">
        <f t="shared" si="4"/>
        <v>12</v>
      </c>
      <c r="U19" s="4" t="str">
        <f t="shared" si="5"/>
        <v>5-12</v>
      </c>
      <c r="AB19" t="s">
        <v>55</v>
      </c>
      <c r="AC19" t="s">
        <v>32</v>
      </c>
    </row>
    <row r="20" spans="1:30" x14ac:dyDescent="0.25">
      <c r="A20" s="4">
        <v>19</v>
      </c>
      <c r="B20" s="4" t="s">
        <v>56</v>
      </c>
      <c r="C20" s="5">
        <v>46081</v>
      </c>
      <c r="D20" s="6">
        <v>0.77083333333333304</v>
      </c>
      <c r="E20" t="s">
        <v>47</v>
      </c>
      <c r="F20" s="7">
        <v>1</v>
      </c>
      <c r="G20">
        <v>3</v>
      </c>
      <c r="H20" t="s">
        <v>21</v>
      </c>
      <c r="I20" t="s">
        <v>22</v>
      </c>
      <c r="J20" t="s">
        <v>43</v>
      </c>
      <c r="K20" t="s">
        <v>40</v>
      </c>
      <c r="L20" t="s">
        <v>45</v>
      </c>
      <c r="M20" t="s">
        <v>68</v>
      </c>
      <c r="N20" t="s">
        <v>32</v>
      </c>
      <c r="P20" t="s">
        <v>62</v>
      </c>
      <c r="Q20">
        <v>0</v>
      </c>
      <c r="R20">
        <v>0</v>
      </c>
      <c r="S20">
        <f t="shared" si="3"/>
        <v>5</v>
      </c>
      <c r="T20">
        <f t="shared" si="4"/>
        <v>12</v>
      </c>
      <c r="U20" s="4" t="str">
        <f t="shared" si="5"/>
        <v>5-12</v>
      </c>
      <c r="AB20" t="s">
        <v>50</v>
      </c>
      <c r="AC20" t="s">
        <v>32</v>
      </c>
    </row>
    <row r="21" spans="1:30" s="9" customFormat="1" x14ac:dyDescent="0.25">
      <c r="A21" s="10">
        <v>19</v>
      </c>
      <c r="B21" s="10" t="s">
        <v>56</v>
      </c>
      <c r="C21" s="36">
        <v>46081</v>
      </c>
      <c r="D21" s="26">
        <v>0.77083333333333304</v>
      </c>
      <c r="E21" s="9" t="s">
        <v>47</v>
      </c>
      <c r="F21" s="37">
        <v>1</v>
      </c>
      <c r="G21" s="9">
        <v>2</v>
      </c>
      <c r="H21" s="9" t="s">
        <v>21</v>
      </c>
      <c r="I21" s="9" t="s">
        <v>22</v>
      </c>
      <c r="J21" s="9" t="s">
        <v>43</v>
      </c>
      <c r="K21" s="9" t="s">
        <v>40</v>
      </c>
      <c r="L21" s="9" t="s">
        <v>45</v>
      </c>
      <c r="M21" s="9" t="s">
        <v>70</v>
      </c>
      <c r="N21" s="9" t="s">
        <v>32</v>
      </c>
      <c r="P21" s="9" t="s">
        <v>73</v>
      </c>
      <c r="Q21" s="9">
        <v>0</v>
      </c>
      <c r="R21" s="9">
        <v>2</v>
      </c>
      <c r="S21" s="9">
        <f t="shared" si="3"/>
        <v>5</v>
      </c>
      <c r="T21" s="9">
        <f t="shared" si="4"/>
        <v>14</v>
      </c>
      <c r="U21" s="10" t="str">
        <f t="shared" si="5"/>
        <v>5-14</v>
      </c>
      <c r="AB21" s="9" t="s">
        <v>50</v>
      </c>
      <c r="AC21" s="9" t="s">
        <v>44</v>
      </c>
    </row>
    <row r="22" spans="1:30" x14ac:dyDescent="0.25">
      <c r="A22" s="4">
        <v>19</v>
      </c>
      <c r="B22" s="4" t="s">
        <v>56</v>
      </c>
      <c r="C22" s="5">
        <v>46081</v>
      </c>
      <c r="D22" s="6">
        <v>0.77083333333333304</v>
      </c>
      <c r="E22" t="s">
        <v>47</v>
      </c>
      <c r="F22" s="7">
        <v>1</v>
      </c>
      <c r="G22">
        <v>2</v>
      </c>
      <c r="H22" t="s">
        <v>42</v>
      </c>
      <c r="I22" t="s">
        <v>48</v>
      </c>
      <c r="J22" t="s">
        <v>43</v>
      </c>
      <c r="K22" t="s">
        <v>40</v>
      </c>
      <c r="L22" t="s">
        <v>45</v>
      </c>
      <c r="M22" t="s">
        <v>58</v>
      </c>
      <c r="N22" t="s">
        <v>51</v>
      </c>
      <c r="P22" t="s">
        <v>72</v>
      </c>
      <c r="Q22">
        <v>2</v>
      </c>
      <c r="R22">
        <v>0</v>
      </c>
      <c r="S22">
        <f t="shared" ref="S22:S27" si="6">S21+Q22</f>
        <v>7</v>
      </c>
      <c r="T22">
        <f t="shared" ref="T22:T27" si="7">T21+R22</f>
        <v>14</v>
      </c>
      <c r="U22" s="4" t="str">
        <f t="shared" ref="U22:U27" si="8">S22&amp;"-"&amp;T22</f>
        <v>7-14</v>
      </c>
      <c r="AB22" t="s">
        <v>55</v>
      </c>
      <c r="AC22" t="s">
        <v>44</v>
      </c>
    </row>
    <row r="23" spans="1:30" x14ac:dyDescent="0.25">
      <c r="A23" s="4">
        <v>19</v>
      </c>
      <c r="B23" s="4" t="s">
        <v>56</v>
      </c>
      <c r="C23" s="5">
        <v>46081</v>
      </c>
      <c r="D23" s="6">
        <v>0.77083333333333304</v>
      </c>
      <c r="E23" t="s">
        <v>47</v>
      </c>
      <c r="F23" s="7">
        <v>1</v>
      </c>
      <c r="G23">
        <v>1</v>
      </c>
      <c r="H23" t="s">
        <v>42</v>
      </c>
      <c r="I23" t="s">
        <v>48</v>
      </c>
      <c r="J23" t="s">
        <v>43</v>
      </c>
      <c r="K23" t="s">
        <v>40</v>
      </c>
      <c r="L23" t="s">
        <v>45</v>
      </c>
      <c r="M23" t="s">
        <v>61</v>
      </c>
      <c r="N23" t="s">
        <v>33</v>
      </c>
      <c r="P23" t="s">
        <v>75</v>
      </c>
      <c r="Q23">
        <v>2</v>
      </c>
      <c r="R23">
        <v>0</v>
      </c>
      <c r="S23">
        <f t="shared" si="6"/>
        <v>9</v>
      </c>
      <c r="T23">
        <f t="shared" si="7"/>
        <v>14</v>
      </c>
      <c r="U23" s="4" t="str">
        <f t="shared" si="8"/>
        <v>9-14</v>
      </c>
      <c r="AB23" t="s">
        <v>50</v>
      </c>
      <c r="AC23" t="s">
        <v>30</v>
      </c>
      <c r="AD23">
        <v>2</v>
      </c>
    </row>
    <row r="24" spans="1:30" x14ac:dyDescent="0.25">
      <c r="A24" s="4">
        <v>19</v>
      </c>
      <c r="B24" s="4" t="s">
        <v>56</v>
      </c>
      <c r="C24" s="5">
        <v>46081</v>
      </c>
      <c r="D24" s="6">
        <v>0.77083333333333304</v>
      </c>
      <c r="E24" t="s">
        <v>47</v>
      </c>
      <c r="F24" s="7">
        <v>1</v>
      </c>
      <c r="G24">
        <v>1</v>
      </c>
      <c r="H24" t="s">
        <v>42</v>
      </c>
      <c r="I24" t="s">
        <v>48</v>
      </c>
      <c r="J24" t="s">
        <v>43</v>
      </c>
      <c r="K24" t="s">
        <v>40</v>
      </c>
      <c r="L24" t="s">
        <v>45</v>
      </c>
      <c r="M24" t="s">
        <v>76</v>
      </c>
      <c r="N24" t="s">
        <v>32</v>
      </c>
      <c r="P24" t="s">
        <v>75</v>
      </c>
      <c r="Q24">
        <v>0</v>
      </c>
      <c r="R24">
        <v>2</v>
      </c>
      <c r="S24">
        <f t="shared" si="6"/>
        <v>9</v>
      </c>
      <c r="T24">
        <f t="shared" si="7"/>
        <v>16</v>
      </c>
      <c r="U24" s="4" t="str">
        <f t="shared" si="8"/>
        <v>9-16</v>
      </c>
      <c r="AB24" t="s">
        <v>55</v>
      </c>
      <c r="AC24" t="s">
        <v>44</v>
      </c>
    </row>
    <row r="25" spans="1:30" x14ac:dyDescent="0.25">
      <c r="A25" s="4">
        <v>19</v>
      </c>
      <c r="B25" s="4" t="s">
        <v>56</v>
      </c>
      <c r="C25" s="5">
        <v>46081</v>
      </c>
      <c r="D25" s="6">
        <v>0.77083333333333304</v>
      </c>
      <c r="E25" t="s">
        <v>47</v>
      </c>
      <c r="F25" s="7">
        <v>1</v>
      </c>
      <c r="G25">
        <v>1</v>
      </c>
      <c r="H25" t="s">
        <v>42</v>
      </c>
      <c r="I25" t="s">
        <v>48</v>
      </c>
      <c r="J25" t="s">
        <v>43</v>
      </c>
      <c r="K25" t="s">
        <v>40</v>
      </c>
      <c r="L25" t="s">
        <v>45</v>
      </c>
      <c r="M25" t="s">
        <v>58</v>
      </c>
      <c r="N25" t="s">
        <v>44</v>
      </c>
      <c r="P25" t="s">
        <v>77</v>
      </c>
      <c r="Q25">
        <v>0</v>
      </c>
      <c r="R25">
        <v>0</v>
      </c>
      <c r="S25">
        <f t="shared" si="6"/>
        <v>9</v>
      </c>
      <c r="T25">
        <f t="shared" si="7"/>
        <v>16</v>
      </c>
      <c r="U25" s="4" t="str">
        <f t="shared" si="8"/>
        <v>9-16</v>
      </c>
      <c r="AB25" t="s">
        <v>50</v>
      </c>
      <c r="AC25" t="s">
        <v>30</v>
      </c>
      <c r="AD25">
        <v>2</v>
      </c>
    </row>
    <row r="26" spans="1:30" x14ac:dyDescent="0.25">
      <c r="A26" s="4">
        <v>19</v>
      </c>
      <c r="B26" s="4" t="s">
        <v>56</v>
      </c>
      <c r="C26" s="5">
        <v>46081</v>
      </c>
      <c r="D26" s="6">
        <v>0.77083333333333304</v>
      </c>
      <c r="E26" t="s">
        <v>47</v>
      </c>
      <c r="F26" s="7">
        <v>1</v>
      </c>
      <c r="G26">
        <v>0</v>
      </c>
      <c r="H26" t="s">
        <v>42</v>
      </c>
      <c r="I26" t="s">
        <v>48</v>
      </c>
      <c r="J26" t="s">
        <v>43</v>
      </c>
      <c r="K26" t="s">
        <v>40</v>
      </c>
      <c r="L26" t="s">
        <v>45</v>
      </c>
      <c r="M26" t="s">
        <v>41</v>
      </c>
      <c r="N26" t="s">
        <v>23</v>
      </c>
      <c r="P26" t="s">
        <v>72</v>
      </c>
      <c r="Q26">
        <v>0</v>
      </c>
      <c r="R26">
        <v>0</v>
      </c>
      <c r="S26">
        <f t="shared" si="6"/>
        <v>9</v>
      </c>
      <c r="T26">
        <f t="shared" si="7"/>
        <v>16</v>
      </c>
      <c r="U26" s="4" t="str">
        <f t="shared" si="8"/>
        <v>9-16</v>
      </c>
      <c r="AB26" t="s">
        <v>55</v>
      </c>
      <c r="AC26" t="s">
        <v>44</v>
      </c>
    </row>
    <row r="27" spans="1:30" s="7" customFormat="1" x14ac:dyDescent="0.25">
      <c r="A27" s="32">
        <v>19</v>
      </c>
      <c r="B27" s="32" t="s">
        <v>56</v>
      </c>
      <c r="C27" s="38">
        <v>46081</v>
      </c>
      <c r="D27" s="33">
        <v>0.77083333333333304</v>
      </c>
      <c r="E27" s="7" t="s">
        <v>47</v>
      </c>
      <c r="F27" s="7">
        <v>1</v>
      </c>
      <c r="G27" s="7">
        <v>0</v>
      </c>
      <c r="H27" s="7" t="s">
        <v>42</v>
      </c>
      <c r="I27" s="7" t="s">
        <v>48</v>
      </c>
      <c r="J27" s="7" t="s">
        <v>43</v>
      </c>
      <c r="K27" s="7" t="s">
        <v>40</v>
      </c>
      <c r="L27" s="7" t="s">
        <v>45</v>
      </c>
      <c r="M27" s="7" t="s">
        <v>41</v>
      </c>
      <c r="N27" s="7" t="s">
        <v>30</v>
      </c>
      <c r="P27" s="7" t="s">
        <v>75</v>
      </c>
      <c r="Q27" s="7">
        <v>2</v>
      </c>
      <c r="R27" s="7">
        <v>0</v>
      </c>
      <c r="S27" s="7">
        <f t="shared" si="6"/>
        <v>11</v>
      </c>
      <c r="T27" s="7">
        <f t="shared" si="7"/>
        <v>16</v>
      </c>
      <c r="U27" s="32" t="str">
        <f t="shared" si="8"/>
        <v>11-16</v>
      </c>
      <c r="AB27" s="7" t="s">
        <v>50</v>
      </c>
      <c r="AC27" s="7" t="s">
        <v>30</v>
      </c>
      <c r="AD27" s="7">
        <v>2</v>
      </c>
    </row>
    <row r="28" spans="1:30" x14ac:dyDescent="0.25">
      <c r="A28" s="4">
        <v>19</v>
      </c>
      <c r="B28" s="4" t="s">
        <v>56</v>
      </c>
      <c r="C28" s="5">
        <v>46081</v>
      </c>
      <c r="D28" s="6">
        <v>0.77083333333333304</v>
      </c>
      <c r="E28" t="s">
        <v>47</v>
      </c>
      <c r="F28" s="11">
        <v>2</v>
      </c>
      <c r="G28">
        <v>9</v>
      </c>
      <c r="H28" t="s">
        <v>42</v>
      </c>
      <c r="I28" t="s">
        <v>48</v>
      </c>
      <c r="J28" t="s">
        <v>43</v>
      </c>
      <c r="K28" t="s">
        <v>38</v>
      </c>
      <c r="L28" t="s">
        <v>40</v>
      </c>
      <c r="M28" t="s">
        <v>41</v>
      </c>
      <c r="N28" t="s">
        <v>51</v>
      </c>
      <c r="P28" t="s">
        <v>75</v>
      </c>
      <c r="Q28">
        <v>1</v>
      </c>
      <c r="R28">
        <v>0</v>
      </c>
      <c r="S28">
        <f t="shared" ref="S28:S50" si="9">S27+Q28</f>
        <v>12</v>
      </c>
      <c r="T28">
        <f t="shared" ref="T28:T50" si="10">T27+R28</f>
        <v>16</v>
      </c>
      <c r="U28" s="4" t="str">
        <f t="shared" ref="U28:U50" si="11">S28&amp;"-"&amp;T28</f>
        <v>12-16</v>
      </c>
      <c r="AB28" t="s">
        <v>54</v>
      </c>
      <c r="AC28" t="s">
        <v>44</v>
      </c>
    </row>
    <row r="29" spans="1:30" x14ac:dyDescent="0.25">
      <c r="A29" s="4">
        <v>19</v>
      </c>
      <c r="B29" s="4" t="s">
        <v>56</v>
      </c>
      <c r="C29" s="5">
        <v>46081</v>
      </c>
      <c r="D29" s="6">
        <v>0.77083333333333304</v>
      </c>
      <c r="E29" t="s">
        <v>47</v>
      </c>
      <c r="F29" s="11">
        <v>2</v>
      </c>
      <c r="G29">
        <v>9</v>
      </c>
      <c r="H29" t="s">
        <v>42</v>
      </c>
      <c r="I29" t="s">
        <v>48</v>
      </c>
      <c r="J29" t="s">
        <v>43</v>
      </c>
      <c r="K29" t="s">
        <v>38</v>
      </c>
      <c r="L29" t="s">
        <v>40</v>
      </c>
      <c r="M29" t="s">
        <v>61</v>
      </c>
      <c r="N29" t="s">
        <v>23</v>
      </c>
      <c r="P29" t="s">
        <v>73</v>
      </c>
      <c r="Q29">
        <v>0</v>
      </c>
      <c r="R29">
        <v>0</v>
      </c>
      <c r="S29">
        <f t="shared" si="9"/>
        <v>12</v>
      </c>
      <c r="T29">
        <f t="shared" si="10"/>
        <v>16</v>
      </c>
      <c r="U29" s="4" t="str">
        <f t="shared" si="11"/>
        <v>12-16</v>
      </c>
      <c r="AB29" t="s">
        <v>54</v>
      </c>
      <c r="AC29" t="s">
        <v>46</v>
      </c>
      <c r="AD29">
        <v>3</v>
      </c>
    </row>
    <row r="30" spans="1:30" s="9" customFormat="1" x14ac:dyDescent="0.25">
      <c r="A30" s="4">
        <v>19</v>
      </c>
      <c r="B30" s="4" t="s">
        <v>56</v>
      </c>
      <c r="C30" s="5">
        <v>46081</v>
      </c>
      <c r="D30" s="26">
        <v>0.77083333333333304</v>
      </c>
      <c r="E30" s="9" t="s">
        <v>47</v>
      </c>
      <c r="F30" s="21">
        <v>2</v>
      </c>
      <c r="G30" s="9">
        <v>8</v>
      </c>
      <c r="H30" t="s">
        <v>42</v>
      </c>
      <c r="I30" t="s">
        <v>48</v>
      </c>
      <c r="J30" t="s">
        <v>43</v>
      </c>
      <c r="K30" t="s">
        <v>38</v>
      </c>
      <c r="L30" t="s">
        <v>40</v>
      </c>
      <c r="M30" s="9" t="s">
        <v>68</v>
      </c>
      <c r="N30" s="9" t="s">
        <v>23</v>
      </c>
      <c r="P30" s="9" t="s">
        <v>77</v>
      </c>
      <c r="Q30" s="9">
        <v>0</v>
      </c>
      <c r="R30" s="9">
        <v>0</v>
      </c>
      <c r="S30">
        <f t="shared" si="9"/>
        <v>12</v>
      </c>
      <c r="T30">
        <f t="shared" si="10"/>
        <v>16</v>
      </c>
      <c r="U30" s="4" t="str">
        <f t="shared" si="11"/>
        <v>12-16</v>
      </c>
      <c r="AB30" t="s">
        <v>55</v>
      </c>
      <c r="AC30" s="9" t="s">
        <v>30</v>
      </c>
      <c r="AD30" s="9">
        <v>2</v>
      </c>
    </row>
    <row r="31" spans="1:30" x14ac:dyDescent="0.25">
      <c r="A31" s="4">
        <v>19</v>
      </c>
      <c r="B31" s="4" t="s">
        <v>56</v>
      </c>
      <c r="C31" s="5">
        <v>46081</v>
      </c>
      <c r="D31" s="6">
        <v>0.77083333333333304</v>
      </c>
      <c r="E31" t="s">
        <v>47</v>
      </c>
      <c r="F31" s="11">
        <v>2</v>
      </c>
      <c r="G31">
        <v>8</v>
      </c>
      <c r="H31" t="s">
        <v>42</v>
      </c>
      <c r="I31" t="s">
        <v>48</v>
      </c>
      <c r="J31" t="s">
        <v>43</v>
      </c>
      <c r="K31" t="s">
        <v>38</v>
      </c>
      <c r="L31" t="s">
        <v>40</v>
      </c>
      <c r="M31" t="s">
        <v>78</v>
      </c>
      <c r="N31" t="s">
        <v>23</v>
      </c>
      <c r="P31" t="s">
        <v>73</v>
      </c>
      <c r="Q31">
        <v>0</v>
      </c>
      <c r="R31">
        <v>2</v>
      </c>
      <c r="S31">
        <f t="shared" si="9"/>
        <v>12</v>
      </c>
      <c r="T31">
        <f t="shared" si="10"/>
        <v>18</v>
      </c>
      <c r="U31" s="4" t="str">
        <f t="shared" si="11"/>
        <v>12-18</v>
      </c>
      <c r="V31">
        <v>1</v>
      </c>
      <c r="AB31" t="s">
        <v>50</v>
      </c>
      <c r="AC31" t="s">
        <v>23</v>
      </c>
      <c r="AD31">
        <v>0</v>
      </c>
    </row>
    <row r="32" spans="1:30" x14ac:dyDescent="0.25">
      <c r="A32" s="4">
        <v>19</v>
      </c>
      <c r="B32" s="4" t="s">
        <v>56</v>
      </c>
      <c r="C32" s="5">
        <v>46081</v>
      </c>
      <c r="D32" s="6">
        <v>0.77083333333333304</v>
      </c>
      <c r="E32" t="s">
        <v>47</v>
      </c>
      <c r="F32" s="11">
        <v>2</v>
      </c>
      <c r="G32">
        <v>7</v>
      </c>
      <c r="H32" t="s">
        <v>42</v>
      </c>
      <c r="I32" t="s">
        <v>48</v>
      </c>
      <c r="J32" t="s">
        <v>43</v>
      </c>
      <c r="K32" t="s">
        <v>38</v>
      </c>
      <c r="L32" t="s">
        <v>40</v>
      </c>
      <c r="M32" t="s">
        <v>83</v>
      </c>
      <c r="N32" t="s">
        <v>23</v>
      </c>
      <c r="P32" t="s">
        <v>72</v>
      </c>
      <c r="Q32">
        <v>0</v>
      </c>
      <c r="R32">
        <v>0</v>
      </c>
      <c r="S32">
        <f t="shared" si="9"/>
        <v>12</v>
      </c>
      <c r="T32">
        <f t="shared" si="10"/>
        <v>18</v>
      </c>
      <c r="U32" s="4" t="str">
        <f t="shared" si="11"/>
        <v>12-18</v>
      </c>
      <c r="AB32" t="s">
        <v>54</v>
      </c>
      <c r="AC32" t="s">
        <v>23</v>
      </c>
    </row>
    <row r="33" spans="1:30" x14ac:dyDescent="0.25">
      <c r="A33" s="4">
        <v>19</v>
      </c>
      <c r="B33" s="4" t="s">
        <v>56</v>
      </c>
      <c r="C33" s="5">
        <v>46081</v>
      </c>
      <c r="D33" s="6">
        <v>0.77083333333333304</v>
      </c>
      <c r="E33" t="s">
        <v>47</v>
      </c>
      <c r="F33" s="11">
        <v>2</v>
      </c>
      <c r="G33">
        <v>7</v>
      </c>
      <c r="H33" t="s">
        <v>42</v>
      </c>
      <c r="I33" t="s">
        <v>39</v>
      </c>
      <c r="J33" t="s">
        <v>48</v>
      </c>
      <c r="K33" t="s">
        <v>38</v>
      </c>
      <c r="L33" t="s">
        <v>45</v>
      </c>
      <c r="M33" t="s">
        <v>41</v>
      </c>
      <c r="N33" t="s">
        <v>23</v>
      </c>
      <c r="P33" t="s">
        <v>75</v>
      </c>
      <c r="Q33">
        <v>0</v>
      </c>
      <c r="R33">
        <v>0</v>
      </c>
      <c r="S33">
        <f t="shared" si="9"/>
        <v>12</v>
      </c>
      <c r="T33">
        <f t="shared" si="10"/>
        <v>18</v>
      </c>
      <c r="U33" s="4" t="str">
        <f t="shared" si="11"/>
        <v>12-18</v>
      </c>
    </row>
    <row r="34" spans="1:30" x14ac:dyDescent="0.25">
      <c r="A34" s="4">
        <v>19</v>
      </c>
      <c r="B34" s="4" t="s">
        <v>56</v>
      </c>
      <c r="C34" s="5">
        <v>46081</v>
      </c>
      <c r="D34" s="6">
        <v>0.77083333333333304</v>
      </c>
      <c r="E34" t="s">
        <v>47</v>
      </c>
      <c r="F34" s="11">
        <v>2</v>
      </c>
      <c r="G34">
        <v>6</v>
      </c>
      <c r="H34" t="s">
        <v>42</v>
      </c>
      <c r="I34" t="s">
        <v>39</v>
      </c>
      <c r="J34" t="s">
        <v>48</v>
      </c>
      <c r="K34" t="s">
        <v>38</v>
      </c>
      <c r="L34" t="s">
        <v>45</v>
      </c>
      <c r="M34" t="s">
        <v>58</v>
      </c>
      <c r="N34" t="s">
        <v>32</v>
      </c>
      <c r="P34" t="s">
        <v>80</v>
      </c>
      <c r="Q34" s="27">
        <v>0</v>
      </c>
      <c r="R34">
        <v>0</v>
      </c>
      <c r="S34">
        <f t="shared" si="9"/>
        <v>12</v>
      </c>
      <c r="T34">
        <f t="shared" si="10"/>
        <v>18</v>
      </c>
      <c r="U34" s="4" t="str">
        <f t="shared" si="11"/>
        <v>12-18</v>
      </c>
      <c r="AB34" t="s">
        <v>55</v>
      </c>
      <c r="AC34" t="s">
        <v>23</v>
      </c>
    </row>
    <row r="35" spans="1:30" x14ac:dyDescent="0.25">
      <c r="A35" s="4">
        <v>19</v>
      </c>
      <c r="B35" s="4" t="s">
        <v>56</v>
      </c>
      <c r="C35" s="5">
        <v>46081</v>
      </c>
      <c r="D35" s="6">
        <v>0.77083333333333304</v>
      </c>
      <c r="E35" t="s">
        <v>47</v>
      </c>
      <c r="F35" s="11">
        <v>2</v>
      </c>
      <c r="G35">
        <v>6</v>
      </c>
      <c r="H35" t="s">
        <v>21</v>
      </c>
      <c r="I35" t="s">
        <v>39</v>
      </c>
      <c r="J35" t="s">
        <v>22</v>
      </c>
      <c r="K35" t="s">
        <v>38</v>
      </c>
      <c r="L35" t="s">
        <v>45</v>
      </c>
      <c r="M35" t="s">
        <v>58</v>
      </c>
      <c r="N35" t="s">
        <v>32</v>
      </c>
      <c r="P35" t="s">
        <v>65</v>
      </c>
      <c r="Q35">
        <v>0</v>
      </c>
      <c r="R35">
        <v>0</v>
      </c>
      <c r="S35">
        <f t="shared" si="9"/>
        <v>12</v>
      </c>
      <c r="T35">
        <f t="shared" si="10"/>
        <v>18</v>
      </c>
      <c r="U35" s="4" t="str">
        <f t="shared" si="11"/>
        <v>12-18</v>
      </c>
    </row>
    <row r="36" spans="1:30" x14ac:dyDescent="0.25">
      <c r="A36" s="4">
        <v>19</v>
      </c>
      <c r="B36" s="4" t="s">
        <v>56</v>
      </c>
      <c r="C36" s="5">
        <v>46081</v>
      </c>
      <c r="D36" s="6">
        <v>0.77083333333333304</v>
      </c>
      <c r="E36" t="s">
        <v>47</v>
      </c>
      <c r="F36" s="11">
        <v>2</v>
      </c>
      <c r="G36">
        <v>5</v>
      </c>
      <c r="H36" t="s">
        <v>21</v>
      </c>
      <c r="I36" t="s">
        <v>39</v>
      </c>
      <c r="J36" t="s">
        <v>22</v>
      </c>
      <c r="K36" t="s">
        <v>38</v>
      </c>
      <c r="L36" t="s">
        <v>45</v>
      </c>
      <c r="M36" t="s">
        <v>67</v>
      </c>
      <c r="N36" t="s">
        <v>46</v>
      </c>
      <c r="O36" t="s">
        <v>66</v>
      </c>
      <c r="P36" t="s">
        <v>62</v>
      </c>
      <c r="Q36">
        <v>3</v>
      </c>
      <c r="R36">
        <v>0</v>
      </c>
      <c r="S36">
        <f t="shared" si="9"/>
        <v>15</v>
      </c>
      <c r="T36">
        <f t="shared" si="10"/>
        <v>18</v>
      </c>
      <c r="U36" s="4" t="str">
        <f t="shared" si="11"/>
        <v>15-18</v>
      </c>
    </row>
    <row r="37" spans="1:30" s="8" customFormat="1" x14ac:dyDescent="0.25">
      <c r="A37" s="39">
        <v>19</v>
      </c>
      <c r="B37" s="39" t="s">
        <v>56</v>
      </c>
      <c r="C37" s="40">
        <v>46081</v>
      </c>
      <c r="D37" s="41">
        <v>0.77083333333333304</v>
      </c>
      <c r="E37" s="8" t="s">
        <v>47</v>
      </c>
      <c r="F37" s="42">
        <v>2</v>
      </c>
      <c r="G37" s="8">
        <v>5</v>
      </c>
      <c r="H37" s="8" t="s">
        <v>21</v>
      </c>
      <c r="I37" s="8" t="s">
        <v>39</v>
      </c>
      <c r="J37" s="8" t="s">
        <v>22</v>
      </c>
      <c r="K37" s="8" t="s">
        <v>38</v>
      </c>
      <c r="L37" s="8" t="s">
        <v>45</v>
      </c>
      <c r="M37" s="8" t="s">
        <v>70</v>
      </c>
      <c r="N37" s="8" t="s">
        <v>46</v>
      </c>
      <c r="P37" s="8" t="s">
        <v>65</v>
      </c>
      <c r="Q37" s="8">
        <v>3</v>
      </c>
      <c r="R37" s="8">
        <v>0</v>
      </c>
      <c r="S37" s="8">
        <f t="shared" si="9"/>
        <v>18</v>
      </c>
      <c r="T37" s="8">
        <f t="shared" si="10"/>
        <v>18</v>
      </c>
      <c r="U37" s="39" t="str">
        <f t="shared" si="11"/>
        <v>18-18</v>
      </c>
    </row>
    <row r="38" spans="1:30" x14ac:dyDescent="0.25">
      <c r="A38" s="4">
        <v>19</v>
      </c>
      <c r="B38" s="4" t="s">
        <v>56</v>
      </c>
      <c r="C38" s="5">
        <v>46081</v>
      </c>
      <c r="D38" s="6">
        <v>0.77083333333333304</v>
      </c>
      <c r="E38" t="s">
        <v>47</v>
      </c>
      <c r="F38" s="11">
        <v>2</v>
      </c>
      <c r="G38">
        <v>4</v>
      </c>
      <c r="H38" t="s">
        <v>21</v>
      </c>
      <c r="I38" t="s">
        <v>39</v>
      </c>
      <c r="J38" t="s">
        <v>22</v>
      </c>
      <c r="K38" t="s">
        <v>38</v>
      </c>
      <c r="L38" t="s">
        <v>45</v>
      </c>
      <c r="M38" t="s">
        <v>58</v>
      </c>
      <c r="N38" t="s">
        <v>23</v>
      </c>
      <c r="P38" t="s">
        <v>57</v>
      </c>
      <c r="Q38">
        <v>0</v>
      </c>
      <c r="R38">
        <v>0</v>
      </c>
      <c r="S38">
        <f t="shared" si="9"/>
        <v>18</v>
      </c>
      <c r="T38">
        <f t="shared" si="10"/>
        <v>18</v>
      </c>
      <c r="U38" s="4" t="str">
        <f t="shared" si="11"/>
        <v>18-18</v>
      </c>
      <c r="AB38" t="s">
        <v>54</v>
      </c>
      <c r="AC38" t="s">
        <v>30</v>
      </c>
      <c r="AD38">
        <v>2</v>
      </c>
    </row>
    <row r="39" spans="1:30" s="8" customFormat="1" x14ac:dyDescent="0.25">
      <c r="A39" s="4">
        <v>19</v>
      </c>
      <c r="B39" s="4" t="s">
        <v>56</v>
      </c>
      <c r="C39" s="5">
        <v>46081</v>
      </c>
      <c r="D39" s="6">
        <v>0.77083333333333304</v>
      </c>
      <c r="E39" t="s">
        <v>47</v>
      </c>
      <c r="F39" s="11">
        <v>2</v>
      </c>
      <c r="G39">
        <v>4</v>
      </c>
      <c r="H39" t="s">
        <v>21</v>
      </c>
      <c r="I39" t="s">
        <v>39</v>
      </c>
      <c r="J39" t="s">
        <v>22</v>
      </c>
      <c r="K39" t="s">
        <v>40</v>
      </c>
      <c r="L39" t="s">
        <v>45</v>
      </c>
      <c r="M39" t="s">
        <v>61</v>
      </c>
      <c r="N39" t="s">
        <v>23</v>
      </c>
      <c r="O39"/>
      <c r="P39" t="s">
        <v>80</v>
      </c>
      <c r="Q39">
        <v>0</v>
      </c>
      <c r="R39">
        <v>2</v>
      </c>
      <c r="S39">
        <f t="shared" si="9"/>
        <v>18</v>
      </c>
      <c r="T39">
        <f t="shared" si="10"/>
        <v>20</v>
      </c>
      <c r="U39" s="4" t="str">
        <f t="shared" si="11"/>
        <v>18-20</v>
      </c>
      <c r="AB39" s="8" t="s">
        <v>50</v>
      </c>
      <c r="AC39" s="8" t="s">
        <v>23</v>
      </c>
    </row>
    <row r="40" spans="1:30" x14ac:dyDescent="0.25">
      <c r="A40" s="4">
        <v>19</v>
      </c>
      <c r="B40" s="4" t="s">
        <v>56</v>
      </c>
      <c r="C40" s="5">
        <v>46081</v>
      </c>
      <c r="D40" s="6">
        <v>0.77083333333333304</v>
      </c>
      <c r="E40" t="s">
        <v>47</v>
      </c>
      <c r="F40" s="11">
        <v>2</v>
      </c>
      <c r="G40">
        <v>3</v>
      </c>
      <c r="H40" t="s">
        <v>21</v>
      </c>
      <c r="I40" t="s">
        <v>39</v>
      </c>
      <c r="J40" t="s">
        <v>22</v>
      </c>
      <c r="K40" t="s">
        <v>40</v>
      </c>
      <c r="L40" t="s">
        <v>45</v>
      </c>
      <c r="M40" t="s">
        <v>41</v>
      </c>
      <c r="N40" t="s">
        <v>32</v>
      </c>
      <c r="P40" t="s">
        <v>65</v>
      </c>
      <c r="Q40">
        <v>0</v>
      </c>
      <c r="R40">
        <v>2</v>
      </c>
      <c r="S40">
        <f t="shared" si="9"/>
        <v>18</v>
      </c>
      <c r="T40">
        <f t="shared" si="10"/>
        <v>22</v>
      </c>
      <c r="U40" s="4" t="str">
        <f t="shared" si="11"/>
        <v>18-22</v>
      </c>
    </row>
    <row r="41" spans="1:30" x14ac:dyDescent="0.25">
      <c r="A41" s="4">
        <v>19</v>
      </c>
      <c r="B41" s="4" t="s">
        <v>56</v>
      </c>
      <c r="C41" s="5">
        <v>46081</v>
      </c>
      <c r="D41" s="6">
        <v>0.77083333333333304</v>
      </c>
      <c r="E41" t="s">
        <v>47</v>
      </c>
      <c r="F41" s="11">
        <v>2</v>
      </c>
      <c r="G41">
        <v>3</v>
      </c>
      <c r="H41" t="s">
        <v>21</v>
      </c>
      <c r="I41" t="s">
        <v>39</v>
      </c>
      <c r="J41" t="s">
        <v>22</v>
      </c>
      <c r="K41" t="s">
        <v>40</v>
      </c>
      <c r="L41" t="s">
        <v>45</v>
      </c>
      <c r="M41" t="s">
        <v>63</v>
      </c>
      <c r="N41" t="s">
        <v>33</v>
      </c>
      <c r="P41" t="s">
        <v>65</v>
      </c>
      <c r="Q41">
        <v>0</v>
      </c>
      <c r="R41">
        <v>0</v>
      </c>
      <c r="S41">
        <f t="shared" si="9"/>
        <v>18</v>
      </c>
      <c r="T41">
        <f t="shared" si="10"/>
        <v>22</v>
      </c>
      <c r="U41" s="4" t="str">
        <f t="shared" si="11"/>
        <v>18-22</v>
      </c>
      <c r="AB41" t="s">
        <v>50</v>
      </c>
      <c r="AC41" t="s">
        <v>32</v>
      </c>
      <c r="AD41">
        <v>0</v>
      </c>
    </row>
    <row r="42" spans="1:30" x14ac:dyDescent="0.25">
      <c r="A42" s="4">
        <v>19</v>
      </c>
      <c r="B42" s="4" t="s">
        <v>56</v>
      </c>
      <c r="C42" s="5">
        <v>46081</v>
      </c>
      <c r="D42" s="6">
        <v>0.77083333333333304</v>
      </c>
      <c r="E42" t="s">
        <v>47</v>
      </c>
      <c r="F42" s="11">
        <v>2</v>
      </c>
      <c r="G42">
        <v>3</v>
      </c>
      <c r="H42" t="s">
        <v>21</v>
      </c>
      <c r="I42" t="s">
        <v>39</v>
      </c>
      <c r="J42" t="s">
        <v>22</v>
      </c>
      <c r="K42" t="s">
        <v>40</v>
      </c>
      <c r="L42" t="s">
        <v>45</v>
      </c>
      <c r="M42" t="s">
        <v>71</v>
      </c>
      <c r="N42" t="s">
        <v>32</v>
      </c>
      <c r="P42" t="s">
        <v>65</v>
      </c>
      <c r="Q42">
        <v>0</v>
      </c>
      <c r="R42">
        <v>0</v>
      </c>
      <c r="S42">
        <f t="shared" si="9"/>
        <v>18</v>
      </c>
      <c r="T42">
        <f t="shared" si="10"/>
        <v>22</v>
      </c>
      <c r="U42" s="4" t="str">
        <f t="shared" si="11"/>
        <v>18-22</v>
      </c>
    </row>
    <row r="43" spans="1:30" x14ac:dyDescent="0.25">
      <c r="A43" s="4">
        <v>19</v>
      </c>
      <c r="B43" s="4" t="s">
        <v>56</v>
      </c>
      <c r="C43" s="5">
        <v>46081</v>
      </c>
      <c r="D43" s="6">
        <v>0.77083333333333304</v>
      </c>
      <c r="E43" t="s">
        <v>47</v>
      </c>
      <c r="F43" s="11">
        <v>2</v>
      </c>
      <c r="G43">
        <v>2</v>
      </c>
      <c r="H43" t="s">
        <v>42</v>
      </c>
      <c r="I43" t="s">
        <v>39</v>
      </c>
      <c r="J43" t="s">
        <v>22</v>
      </c>
      <c r="K43" t="s">
        <v>40</v>
      </c>
      <c r="L43" t="s">
        <v>45</v>
      </c>
      <c r="M43" t="s">
        <v>41</v>
      </c>
      <c r="N43" t="s">
        <v>44</v>
      </c>
      <c r="P43" t="s">
        <v>75</v>
      </c>
      <c r="Q43">
        <v>0</v>
      </c>
      <c r="R43">
        <v>0</v>
      </c>
      <c r="S43">
        <f t="shared" si="9"/>
        <v>18</v>
      </c>
      <c r="T43">
        <f t="shared" si="10"/>
        <v>22</v>
      </c>
      <c r="U43" s="4" t="str">
        <f t="shared" si="11"/>
        <v>18-22</v>
      </c>
      <c r="AB43" t="s">
        <v>50</v>
      </c>
      <c r="AC43" t="s">
        <v>23</v>
      </c>
    </row>
    <row r="44" spans="1:30" s="23" customFormat="1" x14ac:dyDescent="0.25">
      <c r="A44" s="4">
        <v>19</v>
      </c>
      <c r="B44" s="4" t="s">
        <v>56</v>
      </c>
      <c r="C44" s="5">
        <v>46081</v>
      </c>
      <c r="D44" s="6">
        <v>0.77083333333333304</v>
      </c>
      <c r="E44" t="s">
        <v>47</v>
      </c>
      <c r="F44" s="30">
        <v>2</v>
      </c>
      <c r="G44">
        <v>2</v>
      </c>
      <c r="H44" t="s">
        <v>42</v>
      </c>
      <c r="I44" t="s">
        <v>39</v>
      </c>
      <c r="J44" t="s">
        <v>22</v>
      </c>
      <c r="K44" t="s">
        <v>40</v>
      </c>
      <c r="L44" t="s">
        <v>45</v>
      </c>
      <c r="M44" t="s">
        <v>41</v>
      </c>
      <c r="N44" t="s">
        <v>30</v>
      </c>
      <c r="O44" t="s">
        <v>66</v>
      </c>
      <c r="P44" t="s">
        <v>73</v>
      </c>
      <c r="Q44">
        <v>2</v>
      </c>
      <c r="R44">
        <v>0</v>
      </c>
      <c r="S44">
        <f t="shared" si="9"/>
        <v>20</v>
      </c>
      <c r="T44">
        <f t="shared" si="10"/>
        <v>22</v>
      </c>
      <c r="U44" s="4" t="str">
        <f t="shared" si="11"/>
        <v>20-22</v>
      </c>
      <c r="AB44" s="23" t="s">
        <v>50</v>
      </c>
      <c r="AC44" s="23" t="s">
        <v>32</v>
      </c>
    </row>
    <row r="45" spans="1:30" s="9" customFormat="1" x14ac:dyDescent="0.25">
      <c r="A45" s="4">
        <v>19</v>
      </c>
      <c r="B45" s="4" t="s">
        <v>56</v>
      </c>
      <c r="C45" s="5">
        <v>46081</v>
      </c>
      <c r="D45" s="26">
        <v>0.77083333333333304</v>
      </c>
      <c r="E45" s="9" t="s">
        <v>47</v>
      </c>
      <c r="F45" s="30">
        <v>2</v>
      </c>
      <c r="G45">
        <v>1</v>
      </c>
      <c r="H45" t="s">
        <v>42</v>
      </c>
      <c r="I45" t="s">
        <v>39</v>
      </c>
      <c r="J45" t="s">
        <v>22</v>
      </c>
      <c r="K45" t="s">
        <v>40</v>
      </c>
      <c r="L45" t="s">
        <v>45</v>
      </c>
      <c r="M45" t="s">
        <v>58</v>
      </c>
      <c r="N45" t="s">
        <v>33</v>
      </c>
      <c r="O45"/>
      <c r="P45" t="s">
        <v>80</v>
      </c>
      <c r="Q45">
        <v>0</v>
      </c>
      <c r="R45">
        <v>0</v>
      </c>
      <c r="S45">
        <f t="shared" si="9"/>
        <v>20</v>
      </c>
      <c r="T45">
        <f t="shared" si="10"/>
        <v>22</v>
      </c>
      <c r="U45" s="4" t="str">
        <f t="shared" si="11"/>
        <v>20-22</v>
      </c>
    </row>
    <row r="46" spans="1:30" s="9" customFormat="1" x14ac:dyDescent="0.25">
      <c r="A46" s="10">
        <v>19</v>
      </c>
      <c r="B46" s="10" t="s">
        <v>56</v>
      </c>
      <c r="C46" s="36">
        <v>46081</v>
      </c>
      <c r="D46" s="26">
        <v>0.77083333333333304</v>
      </c>
      <c r="E46" s="9" t="s">
        <v>47</v>
      </c>
      <c r="F46" s="30">
        <v>2</v>
      </c>
      <c r="G46" s="9">
        <v>1</v>
      </c>
      <c r="H46" s="9" t="s">
        <v>42</v>
      </c>
      <c r="I46" s="9" t="s">
        <v>39</v>
      </c>
      <c r="J46" s="9" t="s">
        <v>22</v>
      </c>
      <c r="K46" s="9" t="s">
        <v>40</v>
      </c>
      <c r="L46" s="9" t="s">
        <v>45</v>
      </c>
      <c r="M46" s="9" t="s">
        <v>71</v>
      </c>
      <c r="N46" s="9" t="s">
        <v>44</v>
      </c>
      <c r="P46" s="9" t="s">
        <v>66</v>
      </c>
      <c r="Q46" s="9">
        <v>0</v>
      </c>
      <c r="R46" s="9">
        <v>0</v>
      </c>
      <c r="S46" s="9">
        <f t="shared" si="9"/>
        <v>20</v>
      </c>
      <c r="T46" s="9">
        <f t="shared" si="10"/>
        <v>22</v>
      </c>
      <c r="U46" s="10" t="str">
        <f t="shared" si="11"/>
        <v>20-22</v>
      </c>
      <c r="AB46" s="9" t="s">
        <v>50</v>
      </c>
      <c r="AC46" s="9" t="s">
        <v>23</v>
      </c>
      <c r="AD46" s="9">
        <v>0</v>
      </c>
    </row>
    <row r="47" spans="1:30" x14ac:dyDescent="0.25">
      <c r="A47" s="4">
        <v>19</v>
      </c>
      <c r="B47" s="4" t="s">
        <v>56</v>
      </c>
      <c r="C47" s="5">
        <v>46081</v>
      </c>
      <c r="D47" s="6">
        <v>0.77083333333333304</v>
      </c>
      <c r="E47" t="s">
        <v>47</v>
      </c>
      <c r="F47" s="30">
        <v>2</v>
      </c>
      <c r="G47">
        <v>1</v>
      </c>
      <c r="H47" t="s">
        <v>21</v>
      </c>
      <c r="I47" t="s">
        <v>42</v>
      </c>
      <c r="J47" t="s">
        <v>22</v>
      </c>
      <c r="K47" t="s">
        <v>40</v>
      </c>
      <c r="L47" t="s">
        <v>45</v>
      </c>
      <c r="M47" t="s">
        <v>81</v>
      </c>
      <c r="N47" t="s">
        <v>23</v>
      </c>
      <c r="P47" t="s">
        <v>73</v>
      </c>
      <c r="Q47">
        <v>0</v>
      </c>
      <c r="R47">
        <v>0</v>
      </c>
      <c r="S47">
        <f t="shared" si="9"/>
        <v>20</v>
      </c>
      <c r="T47">
        <f t="shared" si="10"/>
        <v>22</v>
      </c>
      <c r="U47" s="4" t="str">
        <f t="shared" si="11"/>
        <v>20-22</v>
      </c>
    </row>
    <row r="48" spans="1:30" s="46" customFormat="1" x14ac:dyDescent="0.25">
      <c r="A48" s="43">
        <v>19</v>
      </c>
      <c r="B48" s="43" t="s">
        <v>56</v>
      </c>
      <c r="C48" s="44">
        <v>46081</v>
      </c>
      <c r="D48" s="45">
        <v>0.77083333333333304</v>
      </c>
      <c r="E48" s="46" t="s">
        <v>47</v>
      </c>
      <c r="F48" s="47">
        <v>2</v>
      </c>
      <c r="G48" s="46">
        <v>0</v>
      </c>
      <c r="H48" t="s">
        <v>21</v>
      </c>
      <c r="I48" t="s">
        <v>42</v>
      </c>
      <c r="J48" s="46" t="s">
        <v>22</v>
      </c>
      <c r="K48" s="46" t="s">
        <v>40</v>
      </c>
      <c r="L48" s="46" t="s">
        <v>45</v>
      </c>
      <c r="M48" s="46" t="s">
        <v>76</v>
      </c>
      <c r="N48" s="46" t="s">
        <v>32</v>
      </c>
      <c r="P48" s="46" t="s">
        <v>65</v>
      </c>
      <c r="Q48" s="46">
        <v>0</v>
      </c>
      <c r="R48" s="46">
        <v>0</v>
      </c>
      <c r="S48" s="46">
        <f t="shared" si="9"/>
        <v>20</v>
      </c>
      <c r="T48" s="46">
        <f t="shared" si="10"/>
        <v>22</v>
      </c>
      <c r="U48" s="43" t="str">
        <f t="shared" si="11"/>
        <v>20-22</v>
      </c>
      <c r="X48" s="46">
        <v>1</v>
      </c>
    </row>
    <row r="49" spans="1:30" x14ac:dyDescent="0.25">
      <c r="A49" s="4">
        <v>19</v>
      </c>
      <c r="B49" s="4" t="s">
        <v>56</v>
      </c>
      <c r="C49" s="5">
        <v>46081</v>
      </c>
      <c r="D49" s="6">
        <v>0.77083333333333304</v>
      </c>
      <c r="E49" t="s">
        <v>47</v>
      </c>
      <c r="F49" s="30">
        <v>2</v>
      </c>
      <c r="G49">
        <v>0</v>
      </c>
      <c r="H49" t="s">
        <v>42</v>
      </c>
      <c r="I49" t="s">
        <v>39</v>
      </c>
      <c r="J49" t="s">
        <v>22</v>
      </c>
      <c r="K49" t="s">
        <v>40</v>
      </c>
      <c r="L49" t="s">
        <v>45</v>
      </c>
      <c r="M49" s="23" t="s">
        <v>78</v>
      </c>
      <c r="N49" s="23" t="s">
        <v>33</v>
      </c>
      <c r="P49" s="23" t="s">
        <v>66</v>
      </c>
      <c r="Q49">
        <v>0</v>
      </c>
      <c r="R49">
        <v>0</v>
      </c>
      <c r="S49">
        <f t="shared" si="9"/>
        <v>20</v>
      </c>
      <c r="T49">
        <f t="shared" si="10"/>
        <v>22</v>
      </c>
      <c r="U49" s="4" t="str">
        <f t="shared" si="11"/>
        <v>20-22</v>
      </c>
    </row>
    <row r="50" spans="1:30" s="11" customFormat="1" x14ac:dyDescent="0.25">
      <c r="A50" s="11">
        <v>19</v>
      </c>
      <c r="B50" s="11" t="s">
        <v>56</v>
      </c>
      <c r="C50" s="5">
        <v>46081</v>
      </c>
      <c r="D50" s="6">
        <v>0.77083333333333304</v>
      </c>
      <c r="E50" s="11" t="s">
        <v>47</v>
      </c>
      <c r="F50" s="11">
        <v>2</v>
      </c>
      <c r="G50" s="11">
        <v>0</v>
      </c>
      <c r="H50" s="11" t="s">
        <v>42</v>
      </c>
      <c r="I50" s="11" t="s">
        <v>39</v>
      </c>
      <c r="J50" s="11" t="s">
        <v>22</v>
      </c>
      <c r="K50" s="11" t="s">
        <v>40</v>
      </c>
      <c r="L50" s="11" t="s">
        <v>45</v>
      </c>
      <c r="M50" s="11" t="s">
        <v>71</v>
      </c>
      <c r="N50" s="11" t="s">
        <v>23</v>
      </c>
      <c r="P50" s="11" t="s">
        <v>66</v>
      </c>
      <c r="Q50" s="11">
        <v>0</v>
      </c>
      <c r="R50" s="11">
        <v>0</v>
      </c>
      <c r="S50" s="11">
        <f t="shared" si="9"/>
        <v>20</v>
      </c>
      <c r="T50" s="11">
        <f t="shared" si="10"/>
        <v>22</v>
      </c>
      <c r="U50" s="11" t="str">
        <f t="shared" si="11"/>
        <v>20-22</v>
      </c>
      <c r="V50" s="11">
        <v>1</v>
      </c>
      <c r="AB50" s="11" t="s">
        <v>50</v>
      </c>
      <c r="AC50" s="11" t="s">
        <v>46</v>
      </c>
      <c r="AD50" s="11">
        <v>3</v>
      </c>
    </row>
    <row r="51" spans="1:30" x14ac:dyDescent="0.25">
      <c r="A51" s="4">
        <v>19</v>
      </c>
      <c r="B51" s="4" t="s">
        <v>56</v>
      </c>
      <c r="C51" s="5">
        <v>46081</v>
      </c>
      <c r="D51" s="6">
        <v>0.77083333333333304</v>
      </c>
      <c r="E51" t="s">
        <v>47</v>
      </c>
      <c r="F51" s="12">
        <v>3</v>
      </c>
      <c r="G51">
        <v>9</v>
      </c>
      <c r="H51" s="23" t="s">
        <v>21</v>
      </c>
      <c r="I51" s="23" t="s">
        <v>39</v>
      </c>
      <c r="J51" s="23" t="s">
        <v>48</v>
      </c>
      <c r="K51" s="23" t="s">
        <v>38</v>
      </c>
      <c r="L51" s="23" t="s">
        <v>40</v>
      </c>
      <c r="M51" s="23" t="s">
        <v>82</v>
      </c>
      <c r="N51" s="23" t="s">
        <v>44</v>
      </c>
      <c r="P51" s="23" t="s">
        <v>57</v>
      </c>
      <c r="Q51">
        <v>0</v>
      </c>
      <c r="R51">
        <v>0</v>
      </c>
      <c r="S51">
        <f t="shared" ref="S51:S53" si="12">S50+Q51</f>
        <v>20</v>
      </c>
      <c r="T51">
        <f t="shared" ref="T51:T53" si="13">T50+R51</f>
        <v>22</v>
      </c>
      <c r="U51" s="4" t="str">
        <f t="shared" ref="U51:U53" si="14">S51&amp;"-"&amp;T51</f>
        <v>20-22</v>
      </c>
      <c r="V51">
        <v>1</v>
      </c>
      <c r="AB51" t="s">
        <v>54</v>
      </c>
      <c r="AC51" t="s">
        <v>33</v>
      </c>
    </row>
    <row r="52" spans="1:30" x14ac:dyDescent="0.25">
      <c r="A52" s="4">
        <v>19</v>
      </c>
      <c r="B52" s="4" t="s">
        <v>56</v>
      </c>
      <c r="C52" s="5">
        <v>46081</v>
      </c>
      <c r="D52" s="6">
        <v>0.77083333333333304</v>
      </c>
      <c r="E52" t="s">
        <v>47</v>
      </c>
      <c r="F52" s="12">
        <v>3</v>
      </c>
      <c r="G52">
        <v>9</v>
      </c>
      <c r="H52" s="23" t="s">
        <v>21</v>
      </c>
      <c r="I52" s="23" t="s">
        <v>39</v>
      </c>
      <c r="J52" s="23" t="s">
        <v>48</v>
      </c>
      <c r="K52" s="23" t="s">
        <v>38</v>
      </c>
      <c r="L52" s="23" t="s">
        <v>40</v>
      </c>
      <c r="M52" s="23" t="s">
        <v>64</v>
      </c>
      <c r="N52" s="23" t="s">
        <v>23</v>
      </c>
      <c r="P52" s="23" t="s">
        <v>65</v>
      </c>
      <c r="Q52">
        <v>0</v>
      </c>
      <c r="R52">
        <v>0</v>
      </c>
      <c r="S52">
        <f t="shared" si="12"/>
        <v>20</v>
      </c>
      <c r="T52">
        <f t="shared" si="13"/>
        <v>22</v>
      </c>
      <c r="U52" s="4" t="str">
        <f t="shared" si="14"/>
        <v>20-22</v>
      </c>
      <c r="AB52" t="s">
        <v>54</v>
      </c>
      <c r="AC52" t="s">
        <v>44</v>
      </c>
    </row>
    <row r="53" spans="1:30" x14ac:dyDescent="0.25">
      <c r="A53" s="4">
        <v>19</v>
      </c>
      <c r="B53" s="4" t="s">
        <v>56</v>
      </c>
      <c r="C53" s="5">
        <v>46081</v>
      </c>
      <c r="D53" s="6">
        <v>0.77083333333333304</v>
      </c>
      <c r="E53" t="s">
        <v>47</v>
      </c>
      <c r="F53" s="12">
        <v>3</v>
      </c>
      <c r="G53">
        <v>8</v>
      </c>
      <c r="H53" s="23" t="s">
        <v>21</v>
      </c>
      <c r="I53" s="23" t="s">
        <v>39</v>
      </c>
      <c r="J53" s="23" t="s">
        <v>48</v>
      </c>
      <c r="K53" s="23" t="s">
        <v>38</v>
      </c>
      <c r="L53" s="23" t="s">
        <v>40</v>
      </c>
      <c r="M53" s="23" t="s">
        <v>61</v>
      </c>
      <c r="N53" s="23" t="s">
        <v>23</v>
      </c>
      <c r="P53" s="23" t="s">
        <v>66</v>
      </c>
      <c r="Q53">
        <v>0</v>
      </c>
      <c r="R53">
        <v>3</v>
      </c>
      <c r="S53">
        <f t="shared" si="12"/>
        <v>20</v>
      </c>
      <c r="T53">
        <f t="shared" si="13"/>
        <v>25</v>
      </c>
      <c r="U53" s="4" t="str">
        <f t="shared" si="14"/>
        <v>20-25</v>
      </c>
      <c r="AB53" t="s">
        <v>54</v>
      </c>
      <c r="AC53" t="s">
        <v>30</v>
      </c>
      <c r="AD53">
        <v>2</v>
      </c>
    </row>
    <row r="54" spans="1:30" x14ac:dyDescent="0.25">
      <c r="A54" s="4">
        <v>19</v>
      </c>
      <c r="B54" s="4" t="s">
        <v>56</v>
      </c>
      <c r="C54" s="5">
        <v>46081</v>
      </c>
      <c r="D54" s="6">
        <v>0.77083333333333304</v>
      </c>
      <c r="E54" t="s">
        <v>47</v>
      </c>
      <c r="F54" s="12">
        <v>3</v>
      </c>
      <c r="G54">
        <v>8</v>
      </c>
      <c r="H54" s="23" t="s">
        <v>21</v>
      </c>
      <c r="I54" s="23" t="s">
        <v>39</v>
      </c>
      <c r="J54" s="23" t="s">
        <v>48</v>
      </c>
      <c r="K54" s="23" t="s">
        <v>38</v>
      </c>
      <c r="L54" s="23" t="s">
        <v>40</v>
      </c>
      <c r="M54" s="23" t="s">
        <v>58</v>
      </c>
      <c r="N54" s="23" t="s">
        <v>30</v>
      </c>
      <c r="O54" s="23" t="s">
        <v>73</v>
      </c>
      <c r="P54" s="23" t="s">
        <v>66</v>
      </c>
      <c r="Q54">
        <v>2</v>
      </c>
      <c r="R54">
        <v>2</v>
      </c>
      <c r="S54">
        <f t="shared" ref="S54:S65" si="15">S53+Q54</f>
        <v>22</v>
      </c>
      <c r="T54">
        <f t="shared" ref="T54:T65" si="16">T53+R54</f>
        <v>27</v>
      </c>
      <c r="U54" s="4" t="str">
        <f t="shared" ref="U54:U65" si="17">S54&amp;"-"&amp;T54</f>
        <v>22-27</v>
      </c>
    </row>
    <row r="55" spans="1:30" x14ac:dyDescent="0.25">
      <c r="A55" s="4">
        <v>19</v>
      </c>
      <c r="B55" s="4" t="s">
        <v>56</v>
      </c>
      <c r="C55" s="5">
        <v>46081</v>
      </c>
      <c r="D55" s="6">
        <v>0.77083333333333304</v>
      </c>
      <c r="E55" t="s">
        <v>47</v>
      </c>
      <c r="F55" s="12">
        <v>3</v>
      </c>
      <c r="G55">
        <v>7</v>
      </c>
      <c r="H55" s="23" t="s">
        <v>21</v>
      </c>
      <c r="I55" s="23" t="s">
        <v>39</v>
      </c>
      <c r="J55" s="23" t="s">
        <v>48</v>
      </c>
      <c r="K55" s="23" t="s">
        <v>38</v>
      </c>
      <c r="L55" s="23" t="s">
        <v>40</v>
      </c>
      <c r="M55" s="23" t="s">
        <v>58</v>
      </c>
      <c r="N55" s="23" t="s">
        <v>23</v>
      </c>
      <c r="P55" s="23" t="s">
        <v>57</v>
      </c>
      <c r="Q55">
        <v>0</v>
      </c>
      <c r="R55">
        <v>0</v>
      </c>
      <c r="S55">
        <f t="shared" si="15"/>
        <v>22</v>
      </c>
      <c r="T55">
        <f t="shared" si="16"/>
        <v>27</v>
      </c>
      <c r="U55" s="4" t="str">
        <f t="shared" si="17"/>
        <v>22-27</v>
      </c>
    </row>
    <row r="56" spans="1:30" x14ac:dyDescent="0.25">
      <c r="A56" s="4">
        <v>19</v>
      </c>
      <c r="B56" s="4" t="s">
        <v>56</v>
      </c>
      <c r="C56" s="5">
        <v>46081</v>
      </c>
      <c r="D56" s="6">
        <v>0.77083333333333304</v>
      </c>
      <c r="E56" t="s">
        <v>47</v>
      </c>
      <c r="F56" s="12">
        <v>3</v>
      </c>
      <c r="G56">
        <v>7</v>
      </c>
      <c r="H56" s="23" t="s">
        <v>21</v>
      </c>
      <c r="I56" s="23" t="s">
        <v>39</v>
      </c>
      <c r="J56" s="23" t="s">
        <v>48</v>
      </c>
      <c r="K56" s="23" t="s">
        <v>38</v>
      </c>
      <c r="L56" s="23" t="s">
        <v>40</v>
      </c>
      <c r="M56" s="23" t="s">
        <v>76</v>
      </c>
      <c r="N56" s="23" t="s">
        <v>51</v>
      </c>
      <c r="P56" s="23" t="s">
        <v>57</v>
      </c>
      <c r="Q56">
        <v>2</v>
      </c>
      <c r="R56">
        <v>0</v>
      </c>
      <c r="S56">
        <f t="shared" si="15"/>
        <v>24</v>
      </c>
      <c r="T56">
        <f t="shared" si="16"/>
        <v>27</v>
      </c>
      <c r="U56" s="4" t="str">
        <f t="shared" si="17"/>
        <v>24-27</v>
      </c>
      <c r="AB56" t="s">
        <v>50</v>
      </c>
      <c r="AC56" t="s">
        <v>32</v>
      </c>
    </row>
    <row r="57" spans="1:30" x14ac:dyDescent="0.25">
      <c r="A57" s="4">
        <v>19</v>
      </c>
      <c r="B57" s="4" t="s">
        <v>56</v>
      </c>
      <c r="C57" s="5">
        <v>46081</v>
      </c>
      <c r="D57" s="6">
        <v>0.77083333333333304</v>
      </c>
      <c r="E57" t="s">
        <v>47</v>
      </c>
      <c r="F57" s="12">
        <v>3</v>
      </c>
      <c r="G57">
        <v>7</v>
      </c>
      <c r="H57" s="23" t="s">
        <v>21</v>
      </c>
      <c r="I57" s="23" t="s">
        <v>39</v>
      </c>
      <c r="J57" s="23" t="s">
        <v>48</v>
      </c>
      <c r="K57" s="23" t="s">
        <v>38</v>
      </c>
      <c r="L57" s="23" t="s">
        <v>40</v>
      </c>
      <c r="M57" s="23" t="s">
        <v>71</v>
      </c>
      <c r="N57" s="23" t="s">
        <v>32</v>
      </c>
      <c r="P57" s="23" t="s">
        <v>57</v>
      </c>
      <c r="Q57">
        <v>0</v>
      </c>
      <c r="R57">
        <v>3</v>
      </c>
      <c r="S57">
        <f t="shared" si="15"/>
        <v>24</v>
      </c>
      <c r="T57">
        <f t="shared" si="16"/>
        <v>30</v>
      </c>
      <c r="U57" s="4" t="str">
        <f t="shared" si="17"/>
        <v>24-30</v>
      </c>
      <c r="AB57" t="s">
        <v>50</v>
      </c>
      <c r="AC57" t="s">
        <v>23</v>
      </c>
    </row>
    <row r="58" spans="1:30" x14ac:dyDescent="0.25">
      <c r="A58" s="4">
        <v>19</v>
      </c>
      <c r="B58" s="4" t="s">
        <v>56</v>
      </c>
      <c r="C58" s="5">
        <v>46081</v>
      </c>
      <c r="D58" s="6">
        <v>0.77083333333333304</v>
      </c>
      <c r="E58" t="s">
        <v>47</v>
      </c>
      <c r="F58" s="12">
        <v>3</v>
      </c>
      <c r="G58">
        <v>6</v>
      </c>
      <c r="H58" s="23" t="s">
        <v>21</v>
      </c>
      <c r="I58" s="23" t="s">
        <v>39</v>
      </c>
      <c r="J58" s="23" t="s">
        <v>48</v>
      </c>
      <c r="K58" s="23" t="s">
        <v>38</v>
      </c>
      <c r="L58" s="23" t="s">
        <v>40</v>
      </c>
      <c r="M58" s="23" t="s">
        <v>61</v>
      </c>
      <c r="N58" s="23" t="s">
        <v>23</v>
      </c>
      <c r="O58" s="23"/>
      <c r="P58" s="23" t="s">
        <v>73</v>
      </c>
      <c r="Q58">
        <v>0</v>
      </c>
      <c r="R58">
        <v>0</v>
      </c>
      <c r="S58">
        <f t="shared" si="15"/>
        <v>24</v>
      </c>
      <c r="T58">
        <f t="shared" si="16"/>
        <v>30</v>
      </c>
      <c r="U58" s="4" t="str">
        <f t="shared" si="17"/>
        <v>24-30</v>
      </c>
      <c r="AB58" t="s">
        <v>50</v>
      </c>
      <c r="AC58" t="s">
        <v>30</v>
      </c>
      <c r="AD58">
        <v>2</v>
      </c>
    </row>
    <row r="59" spans="1:30" s="9" customFormat="1" x14ac:dyDescent="0.25">
      <c r="A59" s="10">
        <v>19</v>
      </c>
      <c r="B59" s="10" t="s">
        <v>56</v>
      </c>
      <c r="C59" s="36">
        <v>46081</v>
      </c>
      <c r="D59" s="26">
        <v>0.77083333333333304</v>
      </c>
      <c r="E59" s="9" t="s">
        <v>47</v>
      </c>
      <c r="F59" s="48">
        <v>3</v>
      </c>
      <c r="G59" s="9">
        <v>6</v>
      </c>
      <c r="H59" s="9" t="s">
        <v>21</v>
      </c>
      <c r="I59" s="9" t="s">
        <v>39</v>
      </c>
      <c r="J59" s="9" t="s">
        <v>48</v>
      </c>
      <c r="K59" s="9" t="s">
        <v>38</v>
      </c>
      <c r="L59" s="9" t="s">
        <v>40</v>
      </c>
      <c r="M59" s="9" t="s">
        <v>64</v>
      </c>
      <c r="N59" s="9" t="s">
        <v>23</v>
      </c>
      <c r="P59" s="9" t="s">
        <v>66</v>
      </c>
      <c r="Q59" s="9">
        <v>0</v>
      </c>
      <c r="R59" s="9">
        <v>3</v>
      </c>
      <c r="S59" s="9">
        <f t="shared" si="15"/>
        <v>24</v>
      </c>
      <c r="T59" s="9">
        <f t="shared" si="16"/>
        <v>33</v>
      </c>
      <c r="U59" s="10" t="str">
        <f t="shared" si="17"/>
        <v>24-33</v>
      </c>
      <c r="V59" s="9">
        <v>1</v>
      </c>
      <c r="AB59" s="9" t="s">
        <v>41</v>
      </c>
      <c r="AC59" s="9" t="s">
        <v>30</v>
      </c>
      <c r="AD59" s="9">
        <v>2</v>
      </c>
    </row>
    <row r="60" spans="1:30" x14ac:dyDescent="0.25">
      <c r="A60" s="4">
        <v>19</v>
      </c>
      <c r="B60" s="4" t="s">
        <v>56</v>
      </c>
      <c r="C60" s="5">
        <v>46081</v>
      </c>
      <c r="D60" s="6">
        <v>0.77083333333333304</v>
      </c>
      <c r="E60" t="s">
        <v>47</v>
      </c>
      <c r="F60" s="12">
        <v>3</v>
      </c>
      <c r="G60">
        <v>6</v>
      </c>
      <c r="H60" s="23" t="s">
        <v>21</v>
      </c>
      <c r="I60" s="23" t="s">
        <v>39</v>
      </c>
      <c r="J60" s="23" t="s">
        <v>22</v>
      </c>
      <c r="K60" s="23" t="s">
        <v>38</v>
      </c>
      <c r="L60" s="23" t="s">
        <v>40</v>
      </c>
      <c r="M60" s="23" t="s">
        <v>79</v>
      </c>
      <c r="N60" s="23" t="s">
        <v>23</v>
      </c>
      <c r="P60" s="23" t="s">
        <v>62</v>
      </c>
      <c r="Q60">
        <v>0</v>
      </c>
      <c r="R60">
        <v>0</v>
      </c>
      <c r="S60">
        <f t="shared" si="15"/>
        <v>24</v>
      </c>
      <c r="T60">
        <f t="shared" si="16"/>
        <v>33</v>
      </c>
      <c r="U60" s="4" t="str">
        <f t="shared" si="17"/>
        <v>24-33</v>
      </c>
      <c r="AB60" t="s">
        <v>50</v>
      </c>
      <c r="AC60" t="s">
        <v>32</v>
      </c>
    </row>
    <row r="61" spans="1:30" s="23" customFormat="1" x14ac:dyDescent="0.25">
      <c r="A61" s="35">
        <v>19</v>
      </c>
      <c r="B61" s="35" t="s">
        <v>56</v>
      </c>
      <c r="C61" s="49">
        <v>46081</v>
      </c>
      <c r="D61" s="34">
        <v>0.77083333333333304</v>
      </c>
      <c r="E61" s="23" t="s">
        <v>47</v>
      </c>
      <c r="F61" s="50">
        <v>3</v>
      </c>
      <c r="G61" s="23">
        <v>6</v>
      </c>
      <c r="H61" s="23" t="s">
        <v>21</v>
      </c>
      <c r="I61" s="23" t="s">
        <v>39</v>
      </c>
      <c r="J61" s="23" t="s">
        <v>22</v>
      </c>
      <c r="K61" s="23" t="s">
        <v>38</v>
      </c>
      <c r="L61" s="23" t="s">
        <v>40</v>
      </c>
      <c r="M61" s="23" t="s">
        <v>41</v>
      </c>
      <c r="N61" s="23" t="s">
        <v>32</v>
      </c>
      <c r="P61" s="23" t="s">
        <v>65</v>
      </c>
      <c r="Q61" s="23">
        <v>0</v>
      </c>
      <c r="R61" s="23">
        <v>0</v>
      </c>
      <c r="S61" s="23">
        <f t="shared" si="15"/>
        <v>24</v>
      </c>
      <c r="T61" s="23">
        <f t="shared" si="16"/>
        <v>33</v>
      </c>
      <c r="U61" s="35" t="str">
        <f t="shared" si="17"/>
        <v>24-33</v>
      </c>
    </row>
    <row r="62" spans="1:30" x14ac:dyDescent="0.25">
      <c r="A62" s="4">
        <v>19</v>
      </c>
      <c r="B62" s="4" t="s">
        <v>56</v>
      </c>
      <c r="C62" s="5">
        <v>46081</v>
      </c>
      <c r="D62" s="6">
        <v>0.77083333333333304</v>
      </c>
      <c r="E62" t="s">
        <v>47</v>
      </c>
      <c r="F62" s="12">
        <v>3</v>
      </c>
      <c r="G62">
        <v>5</v>
      </c>
      <c r="H62" s="23" t="s">
        <v>42</v>
      </c>
      <c r="I62" s="23" t="s">
        <v>39</v>
      </c>
      <c r="J62" s="23" t="s">
        <v>22</v>
      </c>
      <c r="K62" s="23" t="s">
        <v>38</v>
      </c>
      <c r="L62" s="23" t="s">
        <v>40</v>
      </c>
      <c r="M62" s="23" t="s">
        <v>68</v>
      </c>
      <c r="N62" s="23" t="s">
        <v>23</v>
      </c>
      <c r="P62" s="23" t="s">
        <v>57</v>
      </c>
      <c r="Q62">
        <v>0</v>
      </c>
      <c r="R62">
        <v>0</v>
      </c>
      <c r="S62">
        <f t="shared" si="15"/>
        <v>24</v>
      </c>
      <c r="T62">
        <f t="shared" si="16"/>
        <v>33</v>
      </c>
      <c r="U62" s="4" t="str">
        <f t="shared" si="17"/>
        <v>24-33</v>
      </c>
    </row>
    <row r="63" spans="1:30" x14ac:dyDescent="0.25">
      <c r="A63" s="4">
        <v>19</v>
      </c>
      <c r="B63" s="4" t="s">
        <v>56</v>
      </c>
      <c r="C63" s="5">
        <v>46081</v>
      </c>
      <c r="D63" s="6">
        <v>0.77083333333333304</v>
      </c>
      <c r="E63" t="s">
        <v>47</v>
      </c>
      <c r="F63" s="12">
        <v>3</v>
      </c>
      <c r="G63">
        <v>5</v>
      </c>
      <c r="H63" s="23" t="s">
        <v>42</v>
      </c>
      <c r="I63" s="23" t="s">
        <v>39</v>
      </c>
      <c r="J63" s="23" t="s">
        <v>22</v>
      </c>
      <c r="K63" s="23" t="s">
        <v>38</v>
      </c>
      <c r="L63" s="23" t="s">
        <v>40</v>
      </c>
      <c r="M63" s="23" t="s">
        <v>76</v>
      </c>
      <c r="N63" s="23" t="s">
        <v>32</v>
      </c>
      <c r="P63" s="23" t="s">
        <v>57</v>
      </c>
      <c r="Q63">
        <v>0</v>
      </c>
      <c r="R63">
        <v>1</v>
      </c>
      <c r="S63">
        <f t="shared" si="15"/>
        <v>24</v>
      </c>
      <c r="T63">
        <f t="shared" si="16"/>
        <v>34</v>
      </c>
      <c r="U63" s="4" t="str">
        <f t="shared" si="17"/>
        <v>24-34</v>
      </c>
    </row>
    <row r="64" spans="1:30" x14ac:dyDescent="0.25">
      <c r="A64" s="4">
        <v>19</v>
      </c>
      <c r="B64" s="4" t="s">
        <v>56</v>
      </c>
      <c r="C64" s="5">
        <v>46081</v>
      </c>
      <c r="D64" s="6">
        <v>0.77083333333333304</v>
      </c>
      <c r="E64" t="s">
        <v>47</v>
      </c>
      <c r="F64" s="12">
        <v>3</v>
      </c>
      <c r="G64">
        <v>5</v>
      </c>
      <c r="H64" s="23" t="s">
        <v>42</v>
      </c>
      <c r="I64" s="23" t="s">
        <v>39</v>
      </c>
      <c r="J64" s="23" t="s">
        <v>22</v>
      </c>
      <c r="K64" s="23" t="s">
        <v>38</v>
      </c>
      <c r="L64" s="23" t="s">
        <v>40</v>
      </c>
      <c r="M64" s="23" t="s">
        <v>83</v>
      </c>
      <c r="N64" s="23" t="s">
        <v>23</v>
      </c>
      <c r="P64" s="23" t="s">
        <v>57</v>
      </c>
      <c r="Q64">
        <v>0</v>
      </c>
      <c r="R64" s="27">
        <v>0</v>
      </c>
      <c r="S64">
        <f t="shared" si="15"/>
        <v>24</v>
      </c>
      <c r="T64">
        <f t="shared" si="16"/>
        <v>34</v>
      </c>
      <c r="U64" s="4" t="str">
        <f t="shared" si="17"/>
        <v>24-34</v>
      </c>
      <c r="AB64" t="s">
        <v>54</v>
      </c>
      <c r="AC64" t="s">
        <v>46</v>
      </c>
      <c r="AD64">
        <v>3</v>
      </c>
    </row>
    <row r="65" spans="1:30" x14ac:dyDescent="0.25">
      <c r="A65" s="4">
        <v>19</v>
      </c>
      <c r="B65" s="4" t="s">
        <v>56</v>
      </c>
      <c r="C65" s="5">
        <v>46081</v>
      </c>
      <c r="D65" s="6">
        <v>0.77083333333333304</v>
      </c>
      <c r="E65" t="s">
        <v>47</v>
      </c>
      <c r="F65" s="12">
        <v>3</v>
      </c>
      <c r="G65">
        <v>4</v>
      </c>
      <c r="H65" s="23" t="s">
        <v>42</v>
      </c>
      <c r="I65" s="23" t="s">
        <v>22</v>
      </c>
      <c r="J65" s="23" t="s">
        <v>43</v>
      </c>
      <c r="K65" s="23" t="s">
        <v>38</v>
      </c>
      <c r="L65" s="23" t="s">
        <v>45</v>
      </c>
      <c r="M65" s="23" t="s">
        <v>79</v>
      </c>
      <c r="N65" s="23" t="s">
        <v>32</v>
      </c>
      <c r="O65" s="23"/>
      <c r="P65" s="23" t="s">
        <v>57</v>
      </c>
      <c r="Q65">
        <v>0</v>
      </c>
      <c r="R65">
        <v>0</v>
      </c>
      <c r="S65">
        <f t="shared" si="15"/>
        <v>24</v>
      </c>
      <c r="T65">
        <f t="shared" si="16"/>
        <v>34</v>
      </c>
      <c r="U65" s="4" t="str">
        <f t="shared" si="17"/>
        <v>24-34</v>
      </c>
      <c r="AB65" t="s">
        <v>54</v>
      </c>
      <c r="AC65" t="s">
        <v>33</v>
      </c>
      <c r="AD65">
        <v>2</v>
      </c>
    </row>
    <row r="66" spans="1:30" x14ac:dyDescent="0.25">
      <c r="A66" s="4">
        <v>19</v>
      </c>
      <c r="B66" s="4" t="s">
        <v>56</v>
      </c>
      <c r="C66" s="5">
        <v>46081</v>
      </c>
      <c r="D66" s="6">
        <v>0.77083333333333304</v>
      </c>
      <c r="E66" t="s">
        <v>47</v>
      </c>
      <c r="F66" s="12">
        <v>3</v>
      </c>
      <c r="G66">
        <v>4</v>
      </c>
      <c r="H66" s="23" t="s">
        <v>42</v>
      </c>
      <c r="I66" s="23" t="s">
        <v>22</v>
      </c>
      <c r="J66" s="23" t="s">
        <v>43</v>
      </c>
      <c r="K66" s="23" t="s">
        <v>38</v>
      </c>
      <c r="L66" s="23" t="s">
        <v>45</v>
      </c>
      <c r="M66" s="23" t="s">
        <v>67</v>
      </c>
      <c r="N66" s="23" t="s">
        <v>46</v>
      </c>
      <c r="O66" s="23" t="s">
        <v>75</v>
      </c>
      <c r="P66" s="23" t="s">
        <v>57</v>
      </c>
      <c r="Q66">
        <v>3</v>
      </c>
      <c r="R66">
        <v>0</v>
      </c>
      <c r="S66">
        <f t="shared" ref="S66:S76" si="18">S65+Q66</f>
        <v>27</v>
      </c>
      <c r="T66">
        <f t="shared" ref="T66:T76" si="19">T65+R66</f>
        <v>34</v>
      </c>
      <c r="U66" s="4" t="str">
        <f t="shared" ref="U66:U76" si="20">S66&amp;"-"&amp;T66</f>
        <v>27-34</v>
      </c>
      <c r="AB66" t="s">
        <v>54</v>
      </c>
      <c r="AC66" t="s">
        <v>33</v>
      </c>
      <c r="AD66">
        <v>2</v>
      </c>
    </row>
    <row r="67" spans="1:30" x14ac:dyDescent="0.25">
      <c r="A67" s="4">
        <v>19</v>
      </c>
      <c r="B67" s="4" t="s">
        <v>56</v>
      </c>
      <c r="C67" s="5">
        <v>46081</v>
      </c>
      <c r="D67" s="6">
        <v>0.77083333333333304</v>
      </c>
      <c r="E67" t="s">
        <v>47</v>
      </c>
      <c r="F67" s="12">
        <v>3</v>
      </c>
      <c r="G67">
        <v>3</v>
      </c>
      <c r="H67" s="23" t="s">
        <v>42</v>
      </c>
      <c r="I67" s="23" t="s">
        <v>22</v>
      </c>
      <c r="J67" s="23" t="s">
        <v>43</v>
      </c>
      <c r="K67" s="23" t="s">
        <v>38</v>
      </c>
      <c r="L67" s="23" t="s">
        <v>45</v>
      </c>
      <c r="M67" s="23" t="s">
        <v>67</v>
      </c>
      <c r="N67" s="23" t="s">
        <v>44</v>
      </c>
      <c r="P67" s="23" t="s">
        <v>62</v>
      </c>
      <c r="Q67">
        <v>0</v>
      </c>
      <c r="R67">
        <v>2</v>
      </c>
      <c r="S67">
        <f t="shared" si="18"/>
        <v>27</v>
      </c>
      <c r="T67">
        <f t="shared" si="19"/>
        <v>36</v>
      </c>
      <c r="U67" s="4" t="str">
        <f t="shared" si="20"/>
        <v>27-36</v>
      </c>
      <c r="AB67" t="s">
        <v>54</v>
      </c>
      <c r="AC67" t="s">
        <v>23</v>
      </c>
    </row>
    <row r="68" spans="1:30" x14ac:dyDescent="0.25">
      <c r="A68" s="4">
        <v>19</v>
      </c>
      <c r="B68" s="4" t="s">
        <v>56</v>
      </c>
      <c r="C68" s="5">
        <v>46081</v>
      </c>
      <c r="D68" s="6">
        <v>0.77083333333333304</v>
      </c>
      <c r="E68" t="s">
        <v>47</v>
      </c>
      <c r="F68" s="12">
        <v>3</v>
      </c>
      <c r="G68">
        <v>2</v>
      </c>
      <c r="H68" s="23" t="s">
        <v>42</v>
      </c>
      <c r="I68" s="23" t="s">
        <v>22</v>
      </c>
      <c r="J68" s="23" t="s">
        <v>43</v>
      </c>
      <c r="K68" s="23" t="s">
        <v>38</v>
      </c>
      <c r="L68" s="23" t="s">
        <v>45</v>
      </c>
      <c r="M68" s="9" t="s">
        <v>83</v>
      </c>
      <c r="N68" s="23" t="s">
        <v>84</v>
      </c>
      <c r="P68" s="23" t="s">
        <v>85</v>
      </c>
      <c r="Q68" s="23">
        <v>0</v>
      </c>
      <c r="R68">
        <v>0</v>
      </c>
      <c r="S68">
        <f t="shared" si="18"/>
        <v>27</v>
      </c>
      <c r="T68">
        <f t="shared" si="19"/>
        <v>36</v>
      </c>
      <c r="U68" s="4" t="str">
        <f t="shared" si="20"/>
        <v>27-36</v>
      </c>
      <c r="AB68" t="s">
        <v>50</v>
      </c>
      <c r="AC68" t="s">
        <v>46</v>
      </c>
      <c r="AD68">
        <v>3</v>
      </c>
    </row>
    <row r="69" spans="1:30" x14ac:dyDescent="0.25">
      <c r="A69" s="4">
        <v>19</v>
      </c>
      <c r="B69" s="4" t="s">
        <v>56</v>
      </c>
      <c r="C69" s="5">
        <v>46081</v>
      </c>
      <c r="D69" s="6">
        <v>0.77083333333333304</v>
      </c>
      <c r="E69" t="s">
        <v>47</v>
      </c>
      <c r="F69" s="12">
        <v>3</v>
      </c>
      <c r="G69">
        <v>2</v>
      </c>
      <c r="H69" s="23" t="s">
        <v>42</v>
      </c>
      <c r="I69" s="23" t="s">
        <v>22</v>
      </c>
      <c r="J69" s="23" t="s">
        <v>43</v>
      </c>
      <c r="K69" s="23" t="s">
        <v>38</v>
      </c>
      <c r="L69" s="23" t="s">
        <v>45</v>
      </c>
      <c r="M69" s="22" t="s">
        <v>59</v>
      </c>
      <c r="N69" s="23" t="s">
        <v>23</v>
      </c>
      <c r="P69" s="23" t="s">
        <v>72</v>
      </c>
      <c r="Q69">
        <v>0</v>
      </c>
      <c r="R69" s="27">
        <v>0</v>
      </c>
      <c r="S69">
        <f t="shared" si="18"/>
        <v>27</v>
      </c>
      <c r="T69">
        <f t="shared" si="19"/>
        <v>36</v>
      </c>
      <c r="U69" s="4" t="str">
        <f t="shared" si="20"/>
        <v>27-36</v>
      </c>
      <c r="AB69" t="s">
        <v>54</v>
      </c>
      <c r="AC69" t="s">
        <v>32</v>
      </c>
      <c r="AD69">
        <v>0</v>
      </c>
    </row>
    <row r="70" spans="1:30" x14ac:dyDescent="0.25">
      <c r="A70" s="4">
        <v>19</v>
      </c>
      <c r="B70" s="4" t="s">
        <v>56</v>
      </c>
      <c r="C70" s="5">
        <v>46081</v>
      </c>
      <c r="D70" s="6">
        <v>0.77083333333333304</v>
      </c>
      <c r="E70" t="s">
        <v>47</v>
      </c>
      <c r="F70" s="12">
        <v>3</v>
      </c>
      <c r="G70">
        <v>2</v>
      </c>
      <c r="H70" s="23" t="s">
        <v>42</v>
      </c>
      <c r="I70" s="23" t="s">
        <v>22</v>
      </c>
      <c r="J70" s="23" t="s">
        <v>43</v>
      </c>
      <c r="K70" s="23" t="s">
        <v>38</v>
      </c>
      <c r="L70" s="23" t="s">
        <v>45</v>
      </c>
      <c r="M70" s="23" t="s">
        <v>41</v>
      </c>
      <c r="N70" s="23" t="s">
        <v>44</v>
      </c>
      <c r="P70" s="23" t="s">
        <v>62</v>
      </c>
      <c r="Q70">
        <v>0</v>
      </c>
      <c r="R70" s="27">
        <v>3</v>
      </c>
      <c r="S70">
        <f t="shared" si="18"/>
        <v>27</v>
      </c>
      <c r="T70">
        <f t="shared" si="19"/>
        <v>39</v>
      </c>
      <c r="U70" s="4" t="str">
        <f t="shared" si="20"/>
        <v>27-39</v>
      </c>
      <c r="AB70" t="s">
        <v>54</v>
      </c>
      <c r="AC70" t="s">
        <v>32</v>
      </c>
      <c r="AD70">
        <v>0</v>
      </c>
    </row>
    <row r="71" spans="1:30" x14ac:dyDescent="0.25">
      <c r="A71" s="4">
        <v>19</v>
      </c>
      <c r="B71" s="4" t="s">
        <v>56</v>
      </c>
      <c r="C71" s="5">
        <v>46081</v>
      </c>
      <c r="D71" s="6">
        <v>0.77083333333333304</v>
      </c>
      <c r="E71" t="s">
        <v>47</v>
      </c>
      <c r="F71" s="12">
        <v>3</v>
      </c>
      <c r="G71">
        <v>1</v>
      </c>
      <c r="H71" s="23" t="s">
        <v>42</v>
      </c>
      <c r="I71" s="23" t="s">
        <v>22</v>
      </c>
      <c r="J71" s="23" t="s">
        <v>43</v>
      </c>
      <c r="K71" s="23" t="s">
        <v>38</v>
      </c>
      <c r="L71" s="23" t="s">
        <v>45</v>
      </c>
      <c r="M71" s="23" t="s">
        <v>83</v>
      </c>
      <c r="N71" s="23" t="s">
        <v>30</v>
      </c>
      <c r="P71" s="23" t="s">
        <v>57</v>
      </c>
      <c r="Q71">
        <v>3</v>
      </c>
      <c r="R71" s="23">
        <v>0</v>
      </c>
      <c r="S71">
        <f t="shared" si="18"/>
        <v>30</v>
      </c>
      <c r="T71">
        <f t="shared" si="19"/>
        <v>39</v>
      </c>
      <c r="U71" s="4" t="str">
        <f t="shared" si="20"/>
        <v>30-39</v>
      </c>
    </row>
    <row r="72" spans="1:30" x14ac:dyDescent="0.25">
      <c r="A72" s="4">
        <v>19</v>
      </c>
      <c r="B72" s="4" t="s">
        <v>56</v>
      </c>
      <c r="C72" s="5">
        <v>46081</v>
      </c>
      <c r="D72" s="6">
        <v>0.77083333333333304</v>
      </c>
      <c r="E72" t="s">
        <v>47</v>
      </c>
      <c r="F72" s="12">
        <v>3</v>
      </c>
      <c r="G72">
        <v>1</v>
      </c>
      <c r="H72" s="23" t="s">
        <v>42</v>
      </c>
      <c r="I72" s="23" t="s">
        <v>22</v>
      </c>
      <c r="J72" s="23" t="s">
        <v>43</v>
      </c>
      <c r="K72" s="23" t="s">
        <v>38</v>
      </c>
      <c r="L72" s="23" t="s">
        <v>45</v>
      </c>
      <c r="M72" s="23" t="s">
        <v>41</v>
      </c>
      <c r="N72" s="23" t="s">
        <v>44</v>
      </c>
      <c r="P72" s="23" t="s">
        <v>75</v>
      </c>
      <c r="Q72">
        <v>0</v>
      </c>
      <c r="R72">
        <v>0</v>
      </c>
      <c r="S72">
        <f t="shared" si="18"/>
        <v>30</v>
      </c>
      <c r="T72">
        <f t="shared" si="19"/>
        <v>39</v>
      </c>
      <c r="U72" s="4" t="str">
        <f t="shared" si="20"/>
        <v>30-39</v>
      </c>
    </row>
    <row r="73" spans="1:30" x14ac:dyDescent="0.25">
      <c r="A73" s="4">
        <v>19</v>
      </c>
      <c r="B73" s="4" t="s">
        <v>56</v>
      </c>
      <c r="C73" s="5">
        <v>46081</v>
      </c>
      <c r="D73" s="6">
        <v>0.77083333333333304</v>
      </c>
      <c r="E73" t="s">
        <v>47</v>
      </c>
      <c r="F73" s="12">
        <v>3</v>
      </c>
      <c r="G73">
        <v>0</v>
      </c>
      <c r="H73" s="23" t="s">
        <v>42</v>
      </c>
      <c r="I73" s="23" t="s">
        <v>22</v>
      </c>
      <c r="J73" s="23" t="s">
        <v>43</v>
      </c>
      <c r="K73" s="23" t="s">
        <v>38</v>
      </c>
      <c r="L73" s="23" t="s">
        <v>45</v>
      </c>
      <c r="M73" s="23" t="s">
        <v>64</v>
      </c>
      <c r="N73" s="23" t="s">
        <v>30</v>
      </c>
      <c r="O73" s="23"/>
      <c r="P73" s="23" t="s">
        <v>80</v>
      </c>
      <c r="Q73">
        <v>2</v>
      </c>
      <c r="R73">
        <v>0</v>
      </c>
      <c r="S73">
        <f t="shared" si="18"/>
        <v>32</v>
      </c>
      <c r="T73">
        <f t="shared" si="19"/>
        <v>39</v>
      </c>
      <c r="U73" s="4" t="str">
        <f t="shared" si="20"/>
        <v>32-39</v>
      </c>
      <c r="V73">
        <v>1</v>
      </c>
      <c r="Z73">
        <v>2</v>
      </c>
      <c r="AB73" t="s">
        <v>54</v>
      </c>
      <c r="AC73" t="s">
        <v>23</v>
      </c>
      <c r="AD73">
        <v>0</v>
      </c>
    </row>
    <row r="74" spans="1:30" x14ac:dyDescent="0.25">
      <c r="A74" s="4">
        <v>19</v>
      </c>
      <c r="B74" s="4" t="s">
        <v>56</v>
      </c>
      <c r="C74" s="5">
        <v>46081</v>
      </c>
      <c r="D74" s="6">
        <v>0.77083333333333304</v>
      </c>
      <c r="E74" t="s">
        <v>47</v>
      </c>
      <c r="F74" s="12">
        <v>3</v>
      </c>
      <c r="G74">
        <v>0</v>
      </c>
      <c r="H74" s="23" t="s">
        <v>42</v>
      </c>
      <c r="I74" s="23" t="s">
        <v>22</v>
      </c>
      <c r="J74" s="23" t="s">
        <v>43</v>
      </c>
      <c r="K74" s="23" t="s">
        <v>38</v>
      </c>
      <c r="L74" s="23" t="s">
        <v>45</v>
      </c>
      <c r="M74" s="23" t="s">
        <v>41</v>
      </c>
      <c r="N74" s="23" t="s">
        <v>23</v>
      </c>
      <c r="P74" s="23" t="s">
        <v>80</v>
      </c>
      <c r="Q74">
        <v>0</v>
      </c>
      <c r="R74">
        <v>0</v>
      </c>
      <c r="S74">
        <f t="shared" si="18"/>
        <v>32</v>
      </c>
      <c r="T74">
        <f t="shared" si="19"/>
        <v>39</v>
      </c>
      <c r="U74" s="4" t="str">
        <f t="shared" si="20"/>
        <v>32-39</v>
      </c>
      <c r="AB74" t="s">
        <v>54</v>
      </c>
      <c r="AC74" t="s">
        <v>33</v>
      </c>
      <c r="AD74">
        <v>0</v>
      </c>
    </row>
    <row r="75" spans="1:30" x14ac:dyDescent="0.25">
      <c r="A75" s="4">
        <v>19</v>
      </c>
      <c r="B75" s="4" t="s">
        <v>56</v>
      </c>
      <c r="C75" s="5">
        <v>46081</v>
      </c>
      <c r="D75" s="6">
        <v>0.77083333333333304</v>
      </c>
      <c r="E75" t="s">
        <v>47</v>
      </c>
      <c r="F75" s="12">
        <v>3</v>
      </c>
      <c r="G75">
        <v>0</v>
      </c>
      <c r="H75" s="23" t="s">
        <v>42</v>
      </c>
      <c r="I75" s="23" t="s">
        <v>22</v>
      </c>
      <c r="J75" s="23" t="s">
        <v>43</v>
      </c>
      <c r="K75" s="23" t="s">
        <v>38</v>
      </c>
      <c r="L75" s="23" t="s">
        <v>45</v>
      </c>
      <c r="M75" s="23" t="s">
        <v>64</v>
      </c>
      <c r="N75" s="23" t="s">
        <v>23</v>
      </c>
      <c r="P75" s="23" t="s">
        <v>57</v>
      </c>
      <c r="Q75">
        <v>0</v>
      </c>
      <c r="R75">
        <v>0</v>
      </c>
      <c r="S75">
        <f t="shared" si="18"/>
        <v>32</v>
      </c>
      <c r="T75">
        <f t="shared" si="19"/>
        <v>39</v>
      </c>
      <c r="U75" s="4" t="str">
        <f t="shared" si="20"/>
        <v>32-39</v>
      </c>
      <c r="V75">
        <v>1</v>
      </c>
    </row>
    <row r="76" spans="1:30" x14ac:dyDescent="0.25">
      <c r="A76" s="4">
        <v>19</v>
      </c>
      <c r="B76" s="4" t="s">
        <v>56</v>
      </c>
      <c r="C76" s="5">
        <v>46081</v>
      </c>
      <c r="D76" s="6">
        <v>0.77083333333333304</v>
      </c>
      <c r="E76" t="s">
        <v>47</v>
      </c>
      <c r="F76" s="12">
        <v>3</v>
      </c>
      <c r="G76">
        <v>0</v>
      </c>
      <c r="H76" s="23" t="s">
        <v>42</v>
      </c>
      <c r="I76" s="23" t="s">
        <v>22</v>
      </c>
      <c r="J76" s="23" t="s">
        <v>43</v>
      </c>
      <c r="K76" s="23" t="s">
        <v>38</v>
      </c>
      <c r="L76" s="23" t="s">
        <v>45</v>
      </c>
      <c r="M76" s="23" t="s">
        <v>78</v>
      </c>
      <c r="N76" s="23" t="s">
        <v>44</v>
      </c>
      <c r="P76" s="23" t="s">
        <v>75</v>
      </c>
      <c r="Q76">
        <v>0</v>
      </c>
      <c r="R76">
        <v>0</v>
      </c>
      <c r="S76">
        <f t="shared" si="18"/>
        <v>32</v>
      </c>
      <c r="T76">
        <f t="shared" si="19"/>
        <v>39</v>
      </c>
      <c r="U76" s="4" t="str">
        <f t="shared" si="20"/>
        <v>32-39</v>
      </c>
      <c r="AB76" t="s">
        <v>54</v>
      </c>
      <c r="AC76" t="s">
        <v>23</v>
      </c>
    </row>
    <row r="77" spans="1:30" s="12" customFormat="1" x14ac:dyDescent="0.25">
      <c r="A77" s="12">
        <v>19</v>
      </c>
      <c r="B77" s="12" t="s">
        <v>56</v>
      </c>
      <c r="C77" s="5">
        <v>46081</v>
      </c>
      <c r="D77" s="6">
        <v>0.77083333333333304</v>
      </c>
      <c r="E77" s="12" t="s">
        <v>47</v>
      </c>
      <c r="F77" s="12">
        <v>3</v>
      </c>
      <c r="G77" s="12">
        <v>0</v>
      </c>
      <c r="H77" s="12" t="s">
        <v>42</v>
      </c>
      <c r="I77" s="12" t="s">
        <v>22</v>
      </c>
      <c r="J77" s="12" t="s">
        <v>43</v>
      </c>
      <c r="K77" s="12" t="s">
        <v>38</v>
      </c>
      <c r="L77" s="12" t="s">
        <v>45</v>
      </c>
      <c r="M77" s="12" t="s">
        <v>64</v>
      </c>
      <c r="N77" s="12" t="s">
        <v>23</v>
      </c>
      <c r="P77" s="12" t="s">
        <v>72</v>
      </c>
      <c r="Q77" s="12">
        <v>0</v>
      </c>
      <c r="R77" s="12">
        <v>0</v>
      </c>
      <c r="S77" s="12">
        <f t="shared" ref="S77:S100" si="21">S76+Q77</f>
        <v>32</v>
      </c>
      <c r="T77" s="12">
        <f t="shared" ref="T77:T100" si="22">T76+R77</f>
        <v>39</v>
      </c>
      <c r="U77" s="12" t="str">
        <f t="shared" ref="U77:U100" si="23">S77&amp;"-"&amp;T77</f>
        <v>32-39</v>
      </c>
      <c r="V77" s="12">
        <v>1</v>
      </c>
    </row>
    <row r="78" spans="1:30" x14ac:dyDescent="0.25">
      <c r="A78" s="4">
        <v>19</v>
      </c>
      <c r="B78" s="4" t="s">
        <v>56</v>
      </c>
      <c r="C78" s="5">
        <v>46081</v>
      </c>
      <c r="D78" s="6">
        <v>0.77083333333333304</v>
      </c>
      <c r="E78" t="s">
        <v>47</v>
      </c>
      <c r="F78" s="13">
        <v>4</v>
      </c>
      <c r="G78">
        <v>9</v>
      </c>
      <c r="H78" s="23" t="s">
        <v>42</v>
      </c>
      <c r="I78" s="23" t="s">
        <v>22</v>
      </c>
      <c r="J78" s="23" t="s">
        <v>43</v>
      </c>
      <c r="K78" s="23" t="s">
        <v>40</v>
      </c>
      <c r="L78" s="23" t="s">
        <v>45</v>
      </c>
      <c r="M78" s="23" t="s">
        <v>71</v>
      </c>
      <c r="N78" s="23" t="s">
        <v>30</v>
      </c>
      <c r="P78" s="23" t="s">
        <v>73</v>
      </c>
      <c r="Q78">
        <v>2</v>
      </c>
      <c r="R78">
        <v>0</v>
      </c>
      <c r="S78">
        <f t="shared" si="21"/>
        <v>34</v>
      </c>
      <c r="T78">
        <f t="shared" si="22"/>
        <v>39</v>
      </c>
      <c r="U78" s="4" t="str">
        <f t="shared" si="23"/>
        <v>34-39</v>
      </c>
      <c r="AB78" t="s">
        <v>55</v>
      </c>
      <c r="AC78" t="s">
        <v>23</v>
      </c>
    </row>
    <row r="79" spans="1:30" x14ac:dyDescent="0.25">
      <c r="A79" s="4">
        <v>19</v>
      </c>
      <c r="B79" s="4" t="s">
        <v>56</v>
      </c>
      <c r="C79" s="5">
        <v>46081</v>
      </c>
      <c r="D79" s="6">
        <v>0.77083333333333304</v>
      </c>
      <c r="E79" t="s">
        <v>47</v>
      </c>
      <c r="F79" s="13">
        <v>4</v>
      </c>
      <c r="G79">
        <v>8</v>
      </c>
      <c r="H79" s="23" t="s">
        <v>42</v>
      </c>
      <c r="I79" s="23" t="s">
        <v>22</v>
      </c>
      <c r="J79" s="23" t="s">
        <v>48</v>
      </c>
      <c r="K79" s="23" t="s">
        <v>40</v>
      </c>
      <c r="L79" s="23" t="s">
        <v>45</v>
      </c>
      <c r="M79" s="23" t="s">
        <v>68</v>
      </c>
      <c r="N79" s="23" t="s">
        <v>32</v>
      </c>
      <c r="P79" s="23" t="s">
        <v>62</v>
      </c>
      <c r="Q79">
        <v>0</v>
      </c>
      <c r="R79">
        <v>0</v>
      </c>
      <c r="S79">
        <f t="shared" si="21"/>
        <v>34</v>
      </c>
      <c r="T79">
        <f t="shared" si="22"/>
        <v>39</v>
      </c>
      <c r="U79" s="4" t="str">
        <f t="shared" si="23"/>
        <v>34-39</v>
      </c>
      <c r="AB79" t="s">
        <v>55</v>
      </c>
      <c r="AC79" t="s">
        <v>44</v>
      </c>
    </row>
    <row r="80" spans="1:30" x14ac:dyDescent="0.25">
      <c r="A80" s="4">
        <v>19</v>
      </c>
      <c r="B80" s="4" t="s">
        <v>56</v>
      </c>
      <c r="C80" s="5">
        <v>46081</v>
      </c>
      <c r="D80" s="6">
        <v>0.77083333333333304</v>
      </c>
      <c r="E80" t="s">
        <v>47</v>
      </c>
      <c r="F80" s="13">
        <v>4</v>
      </c>
      <c r="G80">
        <v>8</v>
      </c>
      <c r="H80" s="23" t="s">
        <v>42</v>
      </c>
      <c r="I80" s="23" t="s">
        <v>22</v>
      </c>
      <c r="J80" s="23" t="s">
        <v>48</v>
      </c>
      <c r="K80" s="23" t="s">
        <v>40</v>
      </c>
      <c r="L80" s="23" t="s">
        <v>45</v>
      </c>
      <c r="M80" s="23" t="s">
        <v>41</v>
      </c>
      <c r="N80" s="23" t="s">
        <v>33</v>
      </c>
      <c r="P80" s="23" t="s">
        <v>73</v>
      </c>
      <c r="Q80">
        <v>0</v>
      </c>
      <c r="R80">
        <v>0</v>
      </c>
      <c r="S80">
        <f t="shared" si="21"/>
        <v>34</v>
      </c>
      <c r="T80">
        <f t="shared" si="22"/>
        <v>39</v>
      </c>
      <c r="U80" s="4" t="str">
        <f t="shared" si="23"/>
        <v>34-39</v>
      </c>
    </row>
    <row r="81" spans="1:30" s="23" customFormat="1" x14ac:dyDescent="0.25">
      <c r="A81" s="4">
        <v>19</v>
      </c>
      <c r="B81" s="4" t="s">
        <v>56</v>
      </c>
      <c r="C81" s="5">
        <v>46081</v>
      </c>
      <c r="D81" s="34">
        <v>0.77083333333333304</v>
      </c>
      <c r="E81" s="23" t="s">
        <v>47</v>
      </c>
      <c r="F81" s="24">
        <v>4</v>
      </c>
      <c r="G81" s="23">
        <v>8</v>
      </c>
      <c r="H81" s="23" t="s">
        <v>42</v>
      </c>
      <c r="I81" s="23" t="s">
        <v>39</v>
      </c>
      <c r="J81" s="23" t="s">
        <v>48</v>
      </c>
      <c r="K81" s="23" t="s">
        <v>40</v>
      </c>
      <c r="L81" s="23" t="s">
        <v>45</v>
      </c>
      <c r="M81" s="23" t="s">
        <v>59</v>
      </c>
      <c r="N81" s="23" t="s">
        <v>32</v>
      </c>
      <c r="P81" s="23" t="s">
        <v>77</v>
      </c>
      <c r="Q81" s="23">
        <v>0</v>
      </c>
      <c r="R81" s="23">
        <v>2</v>
      </c>
      <c r="S81">
        <f t="shared" si="21"/>
        <v>34</v>
      </c>
      <c r="T81">
        <f t="shared" si="22"/>
        <v>41</v>
      </c>
      <c r="U81" s="4" t="str">
        <f t="shared" si="23"/>
        <v>34-41</v>
      </c>
      <c r="AB81" t="s">
        <v>55</v>
      </c>
      <c r="AC81" s="23" t="s">
        <v>23</v>
      </c>
    </row>
    <row r="82" spans="1:30" x14ac:dyDescent="0.25">
      <c r="A82" s="4">
        <v>19</v>
      </c>
      <c r="B82" s="4" t="s">
        <v>56</v>
      </c>
      <c r="C82" s="5">
        <v>46081</v>
      </c>
      <c r="D82" s="6">
        <v>0.77083333333333304</v>
      </c>
      <c r="E82" t="s">
        <v>47</v>
      </c>
      <c r="F82" s="13">
        <v>4</v>
      </c>
      <c r="G82">
        <v>7</v>
      </c>
      <c r="H82" s="23" t="s">
        <v>42</v>
      </c>
      <c r="I82" s="23" t="s">
        <v>39</v>
      </c>
      <c r="J82" s="23" t="s">
        <v>48</v>
      </c>
      <c r="K82" s="23" t="s">
        <v>40</v>
      </c>
      <c r="L82" s="23" t="s">
        <v>45</v>
      </c>
      <c r="M82" s="23" t="s">
        <v>79</v>
      </c>
      <c r="N82" s="23" t="s">
        <v>30</v>
      </c>
      <c r="P82" s="23" t="s">
        <v>73</v>
      </c>
      <c r="Q82">
        <v>3</v>
      </c>
      <c r="R82">
        <v>3</v>
      </c>
      <c r="S82">
        <f t="shared" si="21"/>
        <v>37</v>
      </c>
      <c r="T82">
        <f t="shared" si="22"/>
        <v>44</v>
      </c>
      <c r="U82" s="4" t="str">
        <f t="shared" si="23"/>
        <v>37-44</v>
      </c>
      <c r="AB82" t="s">
        <v>55</v>
      </c>
      <c r="AC82" t="s">
        <v>23</v>
      </c>
    </row>
    <row r="83" spans="1:30" x14ac:dyDescent="0.25">
      <c r="A83" s="4">
        <v>19</v>
      </c>
      <c r="B83" s="4" t="s">
        <v>56</v>
      </c>
      <c r="C83" s="5">
        <v>46081</v>
      </c>
      <c r="D83" s="6">
        <v>0.77083333333333304</v>
      </c>
      <c r="E83" t="s">
        <v>47</v>
      </c>
      <c r="F83" s="13">
        <v>4</v>
      </c>
      <c r="G83" s="20">
        <v>6</v>
      </c>
      <c r="H83" s="23" t="s">
        <v>42</v>
      </c>
      <c r="I83" s="23" t="s">
        <v>39</v>
      </c>
      <c r="J83" s="23" t="s">
        <v>48</v>
      </c>
      <c r="K83" s="23" t="s">
        <v>40</v>
      </c>
      <c r="L83" s="23" t="s">
        <v>45</v>
      </c>
      <c r="M83" s="23" t="s">
        <v>67</v>
      </c>
      <c r="N83" s="23" t="s">
        <v>46</v>
      </c>
      <c r="O83" s="23" t="s">
        <v>66</v>
      </c>
      <c r="P83" s="23" t="s">
        <v>73</v>
      </c>
      <c r="Q83">
        <v>3</v>
      </c>
      <c r="R83">
        <v>2</v>
      </c>
      <c r="S83">
        <f t="shared" si="21"/>
        <v>40</v>
      </c>
      <c r="T83">
        <f t="shared" si="22"/>
        <v>46</v>
      </c>
      <c r="U83" s="4" t="str">
        <f t="shared" si="23"/>
        <v>40-46</v>
      </c>
    </row>
    <row r="84" spans="1:30" x14ac:dyDescent="0.25">
      <c r="A84" s="4">
        <v>19</v>
      </c>
      <c r="B84" s="4" t="s">
        <v>56</v>
      </c>
      <c r="C84" s="5">
        <v>46081</v>
      </c>
      <c r="D84" s="6">
        <v>0.77083333333333304</v>
      </c>
      <c r="E84" t="s">
        <v>47</v>
      </c>
      <c r="F84" s="13">
        <v>4</v>
      </c>
      <c r="G84">
        <v>6</v>
      </c>
      <c r="H84" s="23" t="s">
        <v>42</v>
      </c>
      <c r="I84" s="23" t="s">
        <v>39</v>
      </c>
      <c r="J84" s="23" t="s">
        <v>48</v>
      </c>
      <c r="K84" s="23" t="s">
        <v>40</v>
      </c>
      <c r="L84" s="23" t="s">
        <v>45</v>
      </c>
      <c r="M84" s="23" t="s">
        <v>68</v>
      </c>
      <c r="N84" s="6" t="s">
        <v>51</v>
      </c>
      <c r="P84" s="23" t="s">
        <v>75</v>
      </c>
      <c r="Q84">
        <v>0</v>
      </c>
      <c r="R84">
        <v>0</v>
      </c>
      <c r="S84">
        <f t="shared" si="21"/>
        <v>40</v>
      </c>
      <c r="T84">
        <f t="shared" si="22"/>
        <v>46</v>
      </c>
      <c r="U84" s="4" t="str">
        <f t="shared" si="23"/>
        <v>40-46</v>
      </c>
    </row>
    <row r="85" spans="1:30" s="23" customFormat="1" x14ac:dyDescent="0.25">
      <c r="A85" s="4">
        <v>19</v>
      </c>
      <c r="B85" s="4" t="s">
        <v>56</v>
      </c>
      <c r="C85" s="5">
        <v>46081</v>
      </c>
      <c r="D85" s="6">
        <v>0.77083333333333304</v>
      </c>
      <c r="E85" t="s">
        <v>47</v>
      </c>
      <c r="F85" s="24">
        <v>4</v>
      </c>
      <c r="G85" s="23">
        <v>5</v>
      </c>
      <c r="H85" s="23" t="s">
        <v>21</v>
      </c>
      <c r="I85" s="23" t="s">
        <v>39</v>
      </c>
      <c r="J85" s="23" t="s">
        <v>38</v>
      </c>
      <c r="K85" s="23" t="s">
        <v>40</v>
      </c>
      <c r="L85" s="23" t="s">
        <v>45</v>
      </c>
      <c r="M85" s="23" t="s">
        <v>85</v>
      </c>
      <c r="N85" s="23" t="s">
        <v>85</v>
      </c>
      <c r="P85" s="23" t="s">
        <v>85</v>
      </c>
      <c r="Q85" s="23">
        <v>0</v>
      </c>
      <c r="R85" s="23">
        <v>2</v>
      </c>
      <c r="S85">
        <f t="shared" si="21"/>
        <v>40</v>
      </c>
      <c r="T85">
        <f t="shared" si="22"/>
        <v>48</v>
      </c>
      <c r="U85" s="4" t="str">
        <f t="shared" si="23"/>
        <v>40-48</v>
      </c>
      <c r="AB85" t="s">
        <v>55</v>
      </c>
      <c r="AC85" s="23" t="s">
        <v>23</v>
      </c>
    </row>
    <row r="86" spans="1:30" s="9" customFormat="1" x14ac:dyDescent="0.25">
      <c r="A86" s="4">
        <v>19</v>
      </c>
      <c r="B86" s="4" t="s">
        <v>56</v>
      </c>
      <c r="C86" s="5">
        <v>46081</v>
      </c>
      <c r="D86" s="26">
        <v>0.77083333333333304</v>
      </c>
      <c r="E86" s="9" t="s">
        <v>47</v>
      </c>
      <c r="F86" s="14">
        <v>4</v>
      </c>
      <c r="G86" s="9">
        <v>5</v>
      </c>
      <c r="H86" s="23" t="s">
        <v>21</v>
      </c>
      <c r="I86" s="23" t="s">
        <v>39</v>
      </c>
      <c r="J86" s="23" t="s">
        <v>38</v>
      </c>
      <c r="K86" s="23" t="s">
        <v>40</v>
      </c>
      <c r="L86" s="23" t="s">
        <v>45</v>
      </c>
      <c r="M86" s="23" t="s">
        <v>79</v>
      </c>
      <c r="N86" s="23" t="s">
        <v>46</v>
      </c>
      <c r="O86" s="23"/>
      <c r="P86" s="23" t="s">
        <v>65</v>
      </c>
      <c r="Q86" s="23">
        <v>3</v>
      </c>
      <c r="R86" s="9">
        <v>0</v>
      </c>
      <c r="S86">
        <f t="shared" si="21"/>
        <v>43</v>
      </c>
      <c r="T86">
        <f t="shared" si="22"/>
        <v>48</v>
      </c>
      <c r="U86" s="4" t="str">
        <f t="shared" si="23"/>
        <v>43-48</v>
      </c>
      <c r="AB86" t="s">
        <v>55</v>
      </c>
      <c r="AC86" s="9" t="s">
        <v>30</v>
      </c>
      <c r="AD86" s="9">
        <v>2</v>
      </c>
    </row>
    <row r="87" spans="1:30" x14ac:dyDescent="0.25">
      <c r="A87" s="4">
        <v>19</v>
      </c>
      <c r="B87" s="4" t="s">
        <v>56</v>
      </c>
      <c r="C87" s="5">
        <v>46081</v>
      </c>
      <c r="D87" s="6">
        <v>0.77083333333333304</v>
      </c>
      <c r="E87" t="s">
        <v>47</v>
      </c>
      <c r="F87" s="13">
        <v>4</v>
      </c>
      <c r="G87">
        <v>5</v>
      </c>
      <c r="H87" s="23" t="s">
        <v>21</v>
      </c>
      <c r="I87" s="23" t="s">
        <v>39</v>
      </c>
      <c r="J87" s="23" t="s">
        <v>38</v>
      </c>
      <c r="K87" s="23" t="s">
        <v>40</v>
      </c>
      <c r="L87" s="23" t="s">
        <v>45</v>
      </c>
      <c r="M87" s="23" t="s">
        <v>83</v>
      </c>
      <c r="N87" s="23" t="s">
        <v>44</v>
      </c>
      <c r="P87" s="23" t="s">
        <v>66</v>
      </c>
      <c r="Q87">
        <v>0</v>
      </c>
      <c r="R87">
        <v>2</v>
      </c>
      <c r="S87">
        <f t="shared" si="21"/>
        <v>43</v>
      </c>
      <c r="T87">
        <f t="shared" si="22"/>
        <v>50</v>
      </c>
      <c r="U87" s="4" t="str">
        <f t="shared" si="23"/>
        <v>43-50</v>
      </c>
    </row>
    <row r="88" spans="1:30" x14ac:dyDescent="0.25">
      <c r="A88" s="4">
        <v>19</v>
      </c>
      <c r="B88" s="4" t="s">
        <v>56</v>
      </c>
      <c r="C88" s="5">
        <v>46081</v>
      </c>
      <c r="D88" s="6">
        <v>0.77083333333333304</v>
      </c>
      <c r="E88" t="s">
        <v>47</v>
      </c>
      <c r="F88" s="13">
        <v>4</v>
      </c>
      <c r="G88">
        <v>4</v>
      </c>
      <c r="H88" s="23" t="s">
        <v>21</v>
      </c>
      <c r="I88" s="23" t="s">
        <v>39</v>
      </c>
      <c r="J88" s="23" t="s">
        <v>38</v>
      </c>
      <c r="K88" s="23" t="s">
        <v>40</v>
      </c>
      <c r="L88" s="23" t="s">
        <v>45</v>
      </c>
      <c r="M88" s="23" t="s">
        <v>67</v>
      </c>
      <c r="N88" s="23" t="s">
        <v>46</v>
      </c>
      <c r="O88" s="23"/>
      <c r="P88" s="23" t="s">
        <v>65</v>
      </c>
      <c r="Q88">
        <v>3</v>
      </c>
      <c r="R88" s="27">
        <v>0</v>
      </c>
      <c r="S88">
        <f t="shared" si="21"/>
        <v>46</v>
      </c>
      <c r="T88">
        <f t="shared" si="22"/>
        <v>50</v>
      </c>
      <c r="U88" s="4" t="str">
        <f t="shared" si="23"/>
        <v>46-50</v>
      </c>
      <c r="AB88" t="s">
        <v>50</v>
      </c>
      <c r="AC88" t="s">
        <v>44</v>
      </c>
    </row>
    <row r="89" spans="1:30" x14ac:dyDescent="0.25">
      <c r="A89" s="4">
        <v>19</v>
      </c>
      <c r="B89" s="4" t="s">
        <v>56</v>
      </c>
      <c r="C89" s="5">
        <v>46081</v>
      </c>
      <c r="D89" s="6">
        <v>0.77083333333333304</v>
      </c>
      <c r="E89" t="s">
        <v>47</v>
      </c>
      <c r="F89" s="13">
        <v>4</v>
      </c>
      <c r="G89">
        <v>4</v>
      </c>
      <c r="H89" s="23" t="s">
        <v>21</v>
      </c>
      <c r="I89" s="23" t="s">
        <v>39</v>
      </c>
      <c r="J89" s="23" t="s">
        <v>38</v>
      </c>
      <c r="K89" s="23" t="s">
        <v>40</v>
      </c>
      <c r="L89" s="23" t="s">
        <v>45</v>
      </c>
      <c r="M89" s="23" t="s">
        <v>67</v>
      </c>
      <c r="N89" s="23" t="s">
        <v>23</v>
      </c>
      <c r="P89" s="23" t="s">
        <v>73</v>
      </c>
      <c r="Q89">
        <v>0</v>
      </c>
      <c r="R89">
        <v>0</v>
      </c>
      <c r="S89">
        <f t="shared" si="21"/>
        <v>46</v>
      </c>
      <c r="T89">
        <f t="shared" si="22"/>
        <v>50</v>
      </c>
      <c r="U89" s="4" t="str">
        <f t="shared" si="23"/>
        <v>46-50</v>
      </c>
      <c r="V89">
        <v>1</v>
      </c>
      <c r="Z89">
        <v>2</v>
      </c>
      <c r="AB89" t="s">
        <v>54</v>
      </c>
      <c r="AC89" t="s">
        <v>32</v>
      </c>
    </row>
    <row r="90" spans="1:30" s="8" customFormat="1" x14ac:dyDescent="0.25">
      <c r="A90" s="39">
        <v>19</v>
      </c>
      <c r="B90" s="39" t="s">
        <v>56</v>
      </c>
      <c r="C90" s="40">
        <v>46081</v>
      </c>
      <c r="D90" s="41">
        <v>0.77083333333333304</v>
      </c>
      <c r="E90" s="8" t="s">
        <v>47</v>
      </c>
      <c r="F90" s="51">
        <v>4</v>
      </c>
      <c r="G90" s="8">
        <v>3</v>
      </c>
      <c r="H90" s="8" t="s">
        <v>21</v>
      </c>
      <c r="I90" s="8" t="s">
        <v>39</v>
      </c>
      <c r="J90" s="8" t="s">
        <v>38</v>
      </c>
      <c r="K90" s="8" t="s">
        <v>40</v>
      </c>
      <c r="L90" s="8" t="s">
        <v>45</v>
      </c>
      <c r="M90" s="8" t="s">
        <v>59</v>
      </c>
      <c r="N90" s="8" t="s">
        <v>30</v>
      </c>
      <c r="O90" s="8" t="s">
        <v>65</v>
      </c>
      <c r="P90" s="8" t="s">
        <v>66</v>
      </c>
      <c r="Q90" s="8">
        <v>2</v>
      </c>
      <c r="R90" s="8">
        <v>0</v>
      </c>
      <c r="S90" s="8">
        <f t="shared" si="21"/>
        <v>48</v>
      </c>
      <c r="T90" s="8">
        <f t="shared" si="22"/>
        <v>50</v>
      </c>
      <c r="U90" s="39" t="str">
        <f t="shared" si="23"/>
        <v>48-50</v>
      </c>
      <c r="AB90" s="8" t="s">
        <v>54</v>
      </c>
      <c r="AC90" s="8" t="s">
        <v>32</v>
      </c>
    </row>
    <row r="91" spans="1:30" x14ac:dyDescent="0.25">
      <c r="A91" s="4">
        <v>19</v>
      </c>
      <c r="B91" s="4" t="s">
        <v>56</v>
      </c>
      <c r="C91" s="5">
        <v>46081</v>
      </c>
      <c r="D91" s="6">
        <v>0.77083333333333304</v>
      </c>
      <c r="E91" t="s">
        <v>47</v>
      </c>
      <c r="F91" s="13">
        <v>4</v>
      </c>
      <c r="G91">
        <v>3</v>
      </c>
      <c r="H91" s="23" t="s">
        <v>21</v>
      </c>
      <c r="I91" s="23" t="s">
        <v>39</v>
      </c>
      <c r="J91" s="23" t="s">
        <v>38</v>
      </c>
      <c r="K91" s="23" t="s">
        <v>40</v>
      </c>
      <c r="L91" s="23" t="s">
        <v>45</v>
      </c>
      <c r="M91" s="23" t="s">
        <v>67</v>
      </c>
      <c r="N91" s="23" t="s">
        <v>44</v>
      </c>
      <c r="P91" s="23" t="s">
        <v>57</v>
      </c>
      <c r="Q91">
        <v>0</v>
      </c>
      <c r="R91">
        <v>0</v>
      </c>
      <c r="S91">
        <f t="shared" si="21"/>
        <v>48</v>
      </c>
      <c r="T91">
        <f t="shared" si="22"/>
        <v>50</v>
      </c>
      <c r="U91" s="4" t="str">
        <f t="shared" si="23"/>
        <v>48-50</v>
      </c>
      <c r="AB91" t="s">
        <v>54</v>
      </c>
      <c r="AC91" t="s">
        <v>44</v>
      </c>
    </row>
    <row r="92" spans="1:30" x14ac:dyDescent="0.25">
      <c r="A92" s="4">
        <v>19</v>
      </c>
      <c r="B92" s="4" t="s">
        <v>56</v>
      </c>
      <c r="C92" s="5">
        <v>46081</v>
      </c>
      <c r="D92" s="6">
        <v>0.77083333333333304</v>
      </c>
      <c r="E92" t="s">
        <v>47</v>
      </c>
      <c r="F92" s="13">
        <v>4</v>
      </c>
      <c r="G92">
        <v>3</v>
      </c>
      <c r="H92" s="23" t="s">
        <v>21</v>
      </c>
      <c r="I92" s="23" t="s">
        <v>39</v>
      </c>
      <c r="J92" s="23" t="s">
        <v>38</v>
      </c>
      <c r="K92" s="23" t="s">
        <v>40</v>
      </c>
      <c r="L92" s="23" t="s">
        <v>45</v>
      </c>
      <c r="M92" s="23" t="s">
        <v>64</v>
      </c>
      <c r="N92" s="23" t="s">
        <v>32</v>
      </c>
      <c r="P92" s="23" t="s">
        <v>73</v>
      </c>
      <c r="Q92">
        <v>0</v>
      </c>
      <c r="R92">
        <v>0</v>
      </c>
      <c r="S92">
        <f t="shared" si="21"/>
        <v>48</v>
      </c>
      <c r="T92">
        <f t="shared" si="22"/>
        <v>50</v>
      </c>
      <c r="U92" s="4" t="str">
        <f t="shared" si="23"/>
        <v>48-50</v>
      </c>
      <c r="V92">
        <v>1</v>
      </c>
      <c r="AB92" t="s">
        <v>54</v>
      </c>
      <c r="AC92" t="s">
        <v>32</v>
      </c>
    </row>
    <row r="93" spans="1:30" x14ac:dyDescent="0.25">
      <c r="A93" s="4">
        <v>19</v>
      </c>
      <c r="B93" s="4" t="s">
        <v>56</v>
      </c>
      <c r="C93" s="5">
        <v>46081</v>
      </c>
      <c r="D93" s="6">
        <v>0.77083333333333304</v>
      </c>
      <c r="E93" t="s">
        <v>47</v>
      </c>
      <c r="F93" s="13">
        <v>4</v>
      </c>
      <c r="G93">
        <v>2</v>
      </c>
      <c r="H93" s="23" t="s">
        <v>21</v>
      </c>
      <c r="I93" s="23" t="s">
        <v>39</v>
      </c>
      <c r="J93" s="23" t="s">
        <v>38</v>
      </c>
      <c r="K93" s="23" t="s">
        <v>40</v>
      </c>
      <c r="L93" s="23" t="s">
        <v>45</v>
      </c>
      <c r="M93" s="23" t="s">
        <v>83</v>
      </c>
      <c r="N93" s="23" t="s">
        <v>23</v>
      </c>
      <c r="P93" s="23" t="s">
        <v>73</v>
      </c>
      <c r="Q93">
        <v>0</v>
      </c>
      <c r="R93">
        <v>0</v>
      </c>
      <c r="S93">
        <f t="shared" si="21"/>
        <v>48</v>
      </c>
      <c r="T93">
        <f t="shared" si="22"/>
        <v>50</v>
      </c>
      <c r="U93" s="4" t="str">
        <f t="shared" si="23"/>
        <v>48-50</v>
      </c>
      <c r="AB93" t="s">
        <v>54</v>
      </c>
      <c r="AC93" s="25" t="s">
        <v>46</v>
      </c>
      <c r="AD93" s="25">
        <v>3</v>
      </c>
    </row>
    <row r="94" spans="1:30" s="46" customFormat="1" x14ac:dyDescent="0.25">
      <c r="A94" s="43">
        <v>19</v>
      </c>
      <c r="B94" s="43" t="s">
        <v>56</v>
      </c>
      <c r="C94" s="44">
        <v>46081</v>
      </c>
      <c r="D94" s="45">
        <v>0.77083333333333304</v>
      </c>
      <c r="E94" s="46" t="s">
        <v>47</v>
      </c>
      <c r="F94" s="52">
        <v>4</v>
      </c>
      <c r="G94" s="46">
        <v>1</v>
      </c>
      <c r="H94" s="46" t="s">
        <v>21</v>
      </c>
      <c r="I94" s="46" t="s">
        <v>39</v>
      </c>
      <c r="J94" s="46" t="s">
        <v>38</v>
      </c>
      <c r="K94" s="46" t="s">
        <v>40</v>
      </c>
      <c r="L94" s="46" t="s">
        <v>45</v>
      </c>
      <c r="M94" s="46" t="s">
        <v>70</v>
      </c>
      <c r="N94" s="46" t="s">
        <v>23</v>
      </c>
      <c r="P94" s="46" t="s">
        <v>80</v>
      </c>
      <c r="Q94" s="46">
        <v>0</v>
      </c>
      <c r="R94" s="46">
        <v>0</v>
      </c>
      <c r="S94" s="46">
        <f t="shared" si="21"/>
        <v>48</v>
      </c>
      <c r="T94" s="46">
        <f t="shared" si="22"/>
        <v>50</v>
      </c>
      <c r="U94" s="43" t="str">
        <f t="shared" si="23"/>
        <v>48-50</v>
      </c>
      <c r="X94" s="46">
        <v>1</v>
      </c>
      <c r="AB94" s="46" t="s">
        <v>54</v>
      </c>
      <c r="AC94" s="46" t="s">
        <v>46</v>
      </c>
      <c r="AD94" s="46">
        <v>3</v>
      </c>
    </row>
    <row r="95" spans="1:30" s="9" customFormat="1" x14ac:dyDescent="0.25">
      <c r="A95" s="10">
        <v>19</v>
      </c>
      <c r="B95" s="10" t="s">
        <v>56</v>
      </c>
      <c r="C95" s="36">
        <v>46081</v>
      </c>
      <c r="D95" s="26">
        <v>0.77083333333333304</v>
      </c>
      <c r="E95" s="9" t="s">
        <v>47</v>
      </c>
      <c r="F95" s="14">
        <v>4</v>
      </c>
      <c r="G95" s="9">
        <v>1</v>
      </c>
      <c r="H95" s="9" t="s">
        <v>21</v>
      </c>
      <c r="I95" s="9" t="s">
        <v>39</v>
      </c>
      <c r="J95" s="9" t="s">
        <v>38</v>
      </c>
      <c r="K95" s="9" t="s">
        <v>40</v>
      </c>
      <c r="L95" s="9" t="s">
        <v>45</v>
      </c>
      <c r="M95" s="9" t="s">
        <v>86</v>
      </c>
      <c r="N95" s="9" t="s">
        <v>33</v>
      </c>
      <c r="P95" s="9" t="s">
        <v>65</v>
      </c>
      <c r="Q95" s="9">
        <v>0</v>
      </c>
      <c r="R95" s="9">
        <v>0</v>
      </c>
      <c r="S95" s="9">
        <f t="shared" si="21"/>
        <v>48</v>
      </c>
      <c r="T95" s="9">
        <f t="shared" si="22"/>
        <v>50</v>
      </c>
      <c r="U95" s="10" t="str">
        <f t="shared" si="23"/>
        <v>48-50</v>
      </c>
      <c r="AB95" s="9" t="s">
        <v>54</v>
      </c>
      <c r="AC95" s="9" t="s">
        <v>44</v>
      </c>
    </row>
    <row r="96" spans="1:30" s="23" customFormat="1" x14ac:dyDescent="0.25">
      <c r="A96" s="4">
        <v>19</v>
      </c>
      <c r="B96" s="4" t="s">
        <v>56</v>
      </c>
      <c r="C96" s="5">
        <v>46081</v>
      </c>
      <c r="D96" s="6">
        <v>0.77083333333333304</v>
      </c>
      <c r="E96" t="s">
        <v>47</v>
      </c>
      <c r="F96" s="24">
        <v>4</v>
      </c>
      <c r="G96" s="23">
        <v>1</v>
      </c>
      <c r="H96" s="23" t="s">
        <v>21</v>
      </c>
      <c r="I96" s="23" t="s">
        <v>39</v>
      </c>
      <c r="J96" s="23" t="s">
        <v>38</v>
      </c>
      <c r="K96" s="23" t="s">
        <v>40</v>
      </c>
      <c r="L96" s="23" t="s">
        <v>45</v>
      </c>
      <c r="M96" s="23" t="s">
        <v>82</v>
      </c>
      <c r="N96" s="23" t="s">
        <v>30</v>
      </c>
      <c r="P96" s="23" t="s">
        <v>66</v>
      </c>
      <c r="Q96" s="23">
        <v>2</v>
      </c>
      <c r="R96" s="23">
        <v>0</v>
      </c>
      <c r="S96">
        <f t="shared" si="21"/>
        <v>50</v>
      </c>
      <c r="T96">
        <f t="shared" si="22"/>
        <v>50</v>
      </c>
      <c r="U96" s="4" t="str">
        <f t="shared" si="23"/>
        <v>50-50</v>
      </c>
    </row>
    <row r="97" spans="1:30" s="9" customFormat="1" x14ac:dyDescent="0.25">
      <c r="A97" s="4">
        <v>19</v>
      </c>
      <c r="B97" s="4" t="s">
        <v>56</v>
      </c>
      <c r="C97" s="5">
        <v>46081</v>
      </c>
      <c r="D97" s="6">
        <v>0.77083333333333304</v>
      </c>
      <c r="E97" t="s">
        <v>47</v>
      </c>
      <c r="F97" s="24">
        <v>4</v>
      </c>
      <c r="G97" s="23">
        <v>0</v>
      </c>
      <c r="H97" s="23" t="s">
        <v>21</v>
      </c>
      <c r="I97" s="23" t="s">
        <v>39</v>
      </c>
      <c r="J97" s="23" t="s">
        <v>38</v>
      </c>
      <c r="K97" s="23" t="s">
        <v>40</v>
      </c>
      <c r="L97" s="23" t="s">
        <v>45</v>
      </c>
      <c r="M97" s="23" t="s">
        <v>86</v>
      </c>
      <c r="N97" s="23" t="s">
        <v>44</v>
      </c>
      <c r="P97" s="23" t="s">
        <v>57</v>
      </c>
      <c r="Q97" s="23">
        <v>0</v>
      </c>
      <c r="R97" s="23">
        <v>0</v>
      </c>
      <c r="S97">
        <f t="shared" si="21"/>
        <v>50</v>
      </c>
      <c r="T97">
        <f t="shared" si="22"/>
        <v>50</v>
      </c>
      <c r="U97" s="4" t="str">
        <f t="shared" si="23"/>
        <v>50-50</v>
      </c>
      <c r="AB97" t="s">
        <v>55</v>
      </c>
      <c r="AC97" s="9" t="s">
        <v>23</v>
      </c>
      <c r="AD97" s="9">
        <v>0</v>
      </c>
    </row>
    <row r="98" spans="1:30" s="14" customFormat="1" x14ac:dyDescent="0.25">
      <c r="A98" s="53">
        <v>19</v>
      </c>
      <c r="B98" s="53" t="s">
        <v>56</v>
      </c>
      <c r="C98" s="54">
        <v>46081</v>
      </c>
      <c r="D98" s="55">
        <v>0.77083333333333304</v>
      </c>
      <c r="E98" s="13" t="s">
        <v>47</v>
      </c>
      <c r="F98" s="14">
        <v>4</v>
      </c>
      <c r="G98" s="14">
        <v>0</v>
      </c>
      <c r="H98" s="24" t="s">
        <v>21</v>
      </c>
      <c r="I98" s="24" t="s">
        <v>39</v>
      </c>
      <c r="J98" s="24" t="s">
        <v>38</v>
      </c>
      <c r="K98" s="24" t="s">
        <v>40</v>
      </c>
      <c r="L98" s="24" t="s">
        <v>45</v>
      </c>
      <c r="M98" s="24" t="s">
        <v>64</v>
      </c>
      <c r="N98" s="24" t="s">
        <v>32</v>
      </c>
      <c r="O98" s="24"/>
      <c r="P98" s="24" t="s">
        <v>80</v>
      </c>
      <c r="Q98" s="24"/>
      <c r="S98" s="13">
        <f t="shared" si="21"/>
        <v>50</v>
      </c>
      <c r="T98" s="13">
        <f t="shared" si="22"/>
        <v>50</v>
      </c>
      <c r="U98" s="53" t="str">
        <f t="shared" si="23"/>
        <v>50-50</v>
      </c>
      <c r="V98" s="14">
        <v>1</v>
      </c>
      <c r="AB98" s="13" t="s">
        <v>55</v>
      </c>
      <c r="AC98" s="14" t="s">
        <v>33</v>
      </c>
      <c r="AD98" s="14">
        <v>1</v>
      </c>
    </row>
    <row r="99" spans="1:30" x14ac:dyDescent="0.25">
      <c r="A99" s="4">
        <v>19</v>
      </c>
      <c r="B99" s="4" t="s">
        <v>56</v>
      </c>
      <c r="C99" s="5">
        <v>46081</v>
      </c>
      <c r="D99" s="6">
        <v>0.77083333333333304</v>
      </c>
      <c r="E99" t="s">
        <v>47</v>
      </c>
      <c r="F99" s="56">
        <v>5</v>
      </c>
      <c r="G99">
        <v>4</v>
      </c>
      <c r="H99" s="23" t="s">
        <v>21</v>
      </c>
      <c r="I99" s="23" t="s">
        <v>39</v>
      </c>
      <c r="J99" s="23" t="s">
        <v>38</v>
      </c>
      <c r="K99" s="23" t="s">
        <v>40</v>
      </c>
      <c r="L99" s="23" t="s">
        <v>45</v>
      </c>
      <c r="M99" s="23" t="s">
        <v>82</v>
      </c>
      <c r="N99" s="23" t="s">
        <v>32</v>
      </c>
      <c r="P99" s="23" t="s">
        <v>57</v>
      </c>
      <c r="Q99" s="23">
        <v>0</v>
      </c>
      <c r="R99">
        <v>0</v>
      </c>
      <c r="S99">
        <f t="shared" si="21"/>
        <v>50</v>
      </c>
      <c r="T99">
        <f t="shared" si="22"/>
        <v>50</v>
      </c>
      <c r="U99" s="4" t="str">
        <f t="shared" si="23"/>
        <v>50-50</v>
      </c>
      <c r="AB99" t="s">
        <v>55</v>
      </c>
      <c r="AC99" s="9" t="s">
        <v>30</v>
      </c>
      <c r="AD99" s="9">
        <v>2</v>
      </c>
    </row>
    <row r="100" spans="1:30" x14ac:dyDescent="0.25">
      <c r="A100" s="4">
        <v>19</v>
      </c>
      <c r="B100" s="4" t="s">
        <v>56</v>
      </c>
      <c r="C100" s="5">
        <v>46081</v>
      </c>
      <c r="D100" s="6">
        <v>0.77083333333333304</v>
      </c>
      <c r="E100" t="s">
        <v>47</v>
      </c>
      <c r="F100" s="56">
        <v>5</v>
      </c>
      <c r="G100">
        <v>3</v>
      </c>
      <c r="H100" s="23" t="s">
        <v>21</v>
      </c>
      <c r="I100" s="23" t="s">
        <v>39</v>
      </c>
      <c r="J100" s="23" t="s">
        <v>38</v>
      </c>
      <c r="K100" s="23" t="s">
        <v>40</v>
      </c>
      <c r="L100" s="23" t="s">
        <v>45</v>
      </c>
      <c r="M100" s="23" t="s">
        <v>85</v>
      </c>
      <c r="N100" s="23" t="s">
        <v>85</v>
      </c>
      <c r="P100" s="23"/>
      <c r="Q100" s="23">
        <v>3</v>
      </c>
      <c r="R100" s="23">
        <v>4</v>
      </c>
      <c r="S100">
        <f t="shared" si="21"/>
        <v>53</v>
      </c>
      <c r="T100">
        <f t="shared" si="22"/>
        <v>54</v>
      </c>
      <c r="U100" s="4" t="str">
        <f t="shared" si="23"/>
        <v>53-54</v>
      </c>
      <c r="AB100" t="s">
        <v>55</v>
      </c>
      <c r="AC100" s="9" t="s">
        <v>44</v>
      </c>
      <c r="AD100" s="9">
        <v>0</v>
      </c>
    </row>
    <row r="101" spans="1:30" x14ac:dyDescent="0.25">
      <c r="A101" s="4">
        <v>19</v>
      </c>
      <c r="B101" s="4" t="s">
        <v>56</v>
      </c>
      <c r="C101" s="5">
        <v>46081</v>
      </c>
      <c r="D101" s="6">
        <v>0.77083333333333304</v>
      </c>
      <c r="E101" t="s">
        <v>47</v>
      </c>
      <c r="F101" s="56">
        <v>5</v>
      </c>
      <c r="G101">
        <v>2</v>
      </c>
      <c r="H101" s="23" t="s">
        <v>21</v>
      </c>
      <c r="I101" s="23" t="s">
        <v>39</v>
      </c>
      <c r="J101" s="23" t="s">
        <v>38</v>
      </c>
      <c r="K101" s="23" t="s">
        <v>40</v>
      </c>
      <c r="L101" s="23" t="s">
        <v>45</v>
      </c>
      <c r="M101" s="23" t="s">
        <v>86</v>
      </c>
      <c r="N101" s="23" t="s">
        <v>46</v>
      </c>
      <c r="P101" s="23" t="s">
        <v>66</v>
      </c>
      <c r="Q101" s="23">
        <v>3</v>
      </c>
      <c r="R101" s="23">
        <v>0</v>
      </c>
      <c r="S101">
        <f t="shared" ref="S101:S105" si="24">S100+Q101</f>
        <v>56</v>
      </c>
      <c r="T101">
        <f t="shared" ref="T101:T105" si="25">T100+R101</f>
        <v>54</v>
      </c>
      <c r="U101" s="4" t="str">
        <f t="shared" ref="U101:U105" si="26">S101&amp;"-"&amp;T101</f>
        <v>56-54</v>
      </c>
    </row>
    <row r="102" spans="1:30" x14ac:dyDescent="0.25">
      <c r="A102" s="4">
        <v>19</v>
      </c>
      <c r="B102" s="4" t="s">
        <v>56</v>
      </c>
      <c r="C102" s="5">
        <v>46081</v>
      </c>
      <c r="D102" s="6">
        <v>0.77083333333333304</v>
      </c>
      <c r="E102" t="s">
        <v>47</v>
      </c>
      <c r="F102" s="56">
        <v>5</v>
      </c>
      <c r="G102">
        <v>1</v>
      </c>
      <c r="H102" s="23" t="s">
        <v>21</v>
      </c>
      <c r="I102" s="23" t="s">
        <v>39</v>
      </c>
      <c r="J102" s="23" t="s">
        <v>38</v>
      </c>
      <c r="K102" s="23" t="s">
        <v>40</v>
      </c>
      <c r="L102" s="23" t="s">
        <v>45</v>
      </c>
      <c r="M102" s="23" t="s">
        <v>86</v>
      </c>
      <c r="N102" s="23" t="s">
        <v>32</v>
      </c>
      <c r="P102" s="23" t="s">
        <v>57</v>
      </c>
      <c r="Q102" s="23">
        <v>0</v>
      </c>
      <c r="R102">
        <v>1</v>
      </c>
      <c r="S102">
        <f t="shared" si="24"/>
        <v>56</v>
      </c>
      <c r="T102">
        <f t="shared" si="25"/>
        <v>55</v>
      </c>
      <c r="U102" s="4" t="str">
        <f t="shared" si="26"/>
        <v>56-55</v>
      </c>
    </row>
    <row r="103" spans="1:30" x14ac:dyDescent="0.25">
      <c r="A103" s="4">
        <v>19</v>
      </c>
      <c r="B103" s="4" t="s">
        <v>56</v>
      </c>
      <c r="C103" s="5">
        <v>46081</v>
      </c>
      <c r="D103" s="6">
        <v>0.77083333333333304</v>
      </c>
      <c r="E103" t="s">
        <v>47</v>
      </c>
      <c r="F103" s="56">
        <v>5</v>
      </c>
      <c r="G103">
        <v>0</v>
      </c>
      <c r="H103" s="23" t="s">
        <v>21</v>
      </c>
      <c r="I103" s="23" t="s">
        <v>39</v>
      </c>
      <c r="J103" s="23" t="s">
        <v>38</v>
      </c>
      <c r="K103" s="23" t="s">
        <v>40</v>
      </c>
      <c r="L103" s="23" t="s">
        <v>45</v>
      </c>
      <c r="M103" s="23" t="s">
        <v>79</v>
      </c>
      <c r="N103" s="23" t="s">
        <v>23</v>
      </c>
      <c r="P103" s="23" t="s">
        <v>57</v>
      </c>
      <c r="Q103" s="23">
        <v>0</v>
      </c>
      <c r="R103">
        <v>0</v>
      </c>
      <c r="S103">
        <f t="shared" si="24"/>
        <v>56</v>
      </c>
      <c r="T103">
        <f t="shared" si="25"/>
        <v>55</v>
      </c>
      <c r="U103" s="4" t="str">
        <f t="shared" si="26"/>
        <v>56-55</v>
      </c>
    </row>
    <row r="104" spans="1:30" s="9" customFormat="1" x14ac:dyDescent="0.25">
      <c r="A104" s="10">
        <v>19</v>
      </c>
      <c r="B104" s="10" t="s">
        <v>56</v>
      </c>
      <c r="C104" s="36">
        <v>46081</v>
      </c>
      <c r="D104" s="26">
        <v>0.77083333333333304</v>
      </c>
      <c r="E104" s="9" t="s">
        <v>47</v>
      </c>
      <c r="F104" s="58">
        <v>5</v>
      </c>
      <c r="G104" s="9">
        <v>0</v>
      </c>
      <c r="H104" s="9" t="s">
        <v>21</v>
      </c>
      <c r="I104" s="9" t="s">
        <v>39</v>
      </c>
      <c r="J104" s="9" t="s">
        <v>38</v>
      </c>
      <c r="K104" s="9" t="s">
        <v>40</v>
      </c>
      <c r="L104" s="9" t="s">
        <v>45</v>
      </c>
      <c r="M104" s="9" t="s">
        <v>41</v>
      </c>
      <c r="N104" s="9" t="s">
        <v>32</v>
      </c>
      <c r="P104" s="9" t="s">
        <v>66</v>
      </c>
      <c r="Q104" s="9">
        <v>0</v>
      </c>
      <c r="R104" s="9">
        <v>2</v>
      </c>
      <c r="S104" s="9">
        <f t="shared" si="24"/>
        <v>56</v>
      </c>
      <c r="T104" s="9">
        <f t="shared" si="25"/>
        <v>57</v>
      </c>
      <c r="U104" s="10" t="str">
        <f t="shared" si="26"/>
        <v>56-57</v>
      </c>
    </row>
    <row r="105" spans="1:30" s="25" customFormat="1" x14ac:dyDescent="0.25">
      <c r="A105" s="28">
        <v>19</v>
      </c>
      <c r="B105" s="28" t="s">
        <v>56</v>
      </c>
      <c r="C105" s="59">
        <v>46081</v>
      </c>
      <c r="D105" s="29">
        <v>0.77083333333333304</v>
      </c>
      <c r="E105" s="25" t="s">
        <v>47</v>
      </c>
      <c r="F105" s="60">
        <v>5</v>
      </c>
      <c r="G105" s="25">
        <v>0</v>
      </c>
      <c r="H105" s="25" t="s">
        <v>21</v>
      </c>
      <c r="I105" s="25" t="s">
        <v>39</v>
      </c>
      <c r="J105" s="25" t="s">
        <v>38</v>
      </c>
      <c r="K105" s="25" t="s">
        <v>40</v>
      </c>
      <c r="L105" s="25" t="s">
        <v>45</v>
      </c>
      <c r="M105" s="25" t="s">
        <v>82</v>
      </c>
      <c r="N105" s="25" t="s">
        <v>32</v>
      </c>
      <c r="P105" s="25" t="s">
        <v>57</v>
      </c>
      <c r="Q105" s="25">
        <v>0</v>
      </c>
      <c r="R105" s="25">
        <v>1</v>
      </c>
      <c r="S105" s="25">
        <f t="shared" si="24"/>
        <v>56</v>
      </c>
      <c r="T105" s="25">
        <f t="shared" si="25"/>
        <v>58</v>
      </c>
      <c r="U105" s="28" t="str">
        <f t="shared" si="26"/>
        <v>56-58</v>
      </c>
    </row>
    <row r="106" spans="1:30" s="56" customFormat="1" x14ac:dyDescent="0.25">
      <c r="A106" s="57">
        <v>19</v>
      </c>
      <c r="B106" s="57" t="s">
        <v>56</v>
      </c>
      <c r="C106" s="61">
        <v>46081</v>
      </c>
      <c r="D106" s="62">
        <v>0.77083333333333304</v>
      </c>
      <c r="E106" s="56" t="s">
        <v>47</v>
      </c>
      <c r="G106" s="56">
        <v>0</v>
      </c>
      <c r="H106" s="63" t="s">
        <v>21</v>
      </c>
      <c r="I106" s="63" t="s">
        <v>39</v>
      </c>
      <c r="J106" s="63" t="s">
        <v>38</v>
      </c>
      <c r="K106" s="63" t="s">
        <v>40</v>
      </c>
      <c r="L106" s="63" t="s">
        <v>45</v>
      </c>
      <c r="M106" s="63" t="s">
        <v>68</v>
      </c>
      <c r="N106" s="63" t="s">
        <v>23</v>
      </c>
      <c r="P106" s="63" t="s">
        <v>65</v>
      </c>
      <c r="Q106" s="63">
        <v>0</v>
      </c>
      <c r="R106" s="56">
        <v>0</v>
      </c>
      <c r="S106" s="60">
        <f t="shared" ref="S106" si="27">S105+Q106</f>
        <v>56</v>
      </c>
      <c r="T106" s="60">
        <f t="shared" ref="T106" si="28">T105+R106</f>
        <v>58</v>
      </c>
      <c r="U106" s="64" t="str">
        <f t="shared" ref="U106" si="29">S106&amp;"-"&amp;T106</f>
        <v>56-58</v>
      </c>
    </row>
    <row r="107" spans="1:30" x14ac:dyDescent="0.25">
      <c r="A107" s="4"/>
      <c r="B107" s="4"/>
      <c r="C107" s="5"/>
      <c r="D107" s="6"/>
      <c r="F107" s="57"/>
    </row>
    <row r="108" spans="1:30" x14ac:dyDescent="0.25">
      <c r="A108" s="4"/>
      <c r="B108" s="4"/>
      <c r="C108" s="5"/>
      <c r="D108" s="6"/>
    </row>
    <row r="109" spans="1:30" x14ac:dyDescent="0.25">
      <c r="A109" s="4"/>
      <c r="B109" s="4"/>
      <c r="C109" s="5"/>
      <c r="D109" s="6"/>
    </row>
  </sheetData>
  <autoFilter ref="A1:AD100" xr:uid="{93034ED9-F3C0-42F8-8C99-E681B16A3183}"/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sqref="A1:XFD1048576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31</v>
      </c>
      <c r="G1" s="3" t="s">
        <v>29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34</v>
      </c>
      <c r="K4" s="17" t="s">
        <v>25</v>
      </c>
      <c r="L4" s="17" t="s">
        <v>35</v>
      </c>
      <c r="M4" s="18" t="s">
        <v>27</v>
      </c>
      <c r="N4" s="18" t="s">
        <v>36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37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C2A5-FBE6-47B9-B817-E77F0A47E2A4}">
  <dimension ref="A1:C2"/>
  <sheetViews>
    <sheetView workbookViewId="0">
      <selection activeCell="B3" sqref="B3"/>
    </sheetView>
  </sheetViews>
  <sheetFormatPr baseColWidth="10" defaultRowHeight="15" x14ac:dyDescent="0.25"/>
  <cols>
    <col min="2" max="2" width="19.42578125" customWidth="1"/>
  </cols>
  <sheetData>
    <row r="1" spans="1:3" x14ac:dyDescent="0.25">
      <c r="A1" t="s">
        <v>34</v>
      </c>
      <c r="B1" s="2" t="s">
        <v>49</v>
      </c>
      <c r="C1" s="2" t="s">
        <v>13</v>
      </c>
    </row>
    <row r="2" spans="1:3" x14ac:dyDescent="0.25"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2026-08-06T19:13:53Z</dcterms:modified>
</cp:coreProperties>
</file>