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rrerr\Desktop\26-27 data LF2\25-26\data\pbp\"/>
    </mc:Choice>
  </mc:AlternateContent>
  <xr:revisionPtr revIDLastSave="0" documentId="13_ncr:1_{6D5E1BFF-C16D-4A94-9227-F92C2783DADD}" xr6:coauthVersionLast="47" xr6:coauthVersionMax="47" xr10:uidLastSave="{00000000-0000-0000-0000-000000000000}"/>
  <bookViews>
    <workbookView xWindow="-120" yWindow="-120" windowWidth="29040" windowHeight="15720" xr2:uid="{2F001749-FD8A-442A-92C1-110CD0EC477C}"/>
  </bookViews>
  <sheets>
    <sheet name="Hoja1" sheetId="1" r:id="rId1"/>
    <sheet name="Hoja2" sheetId="2" r:id="rId2"/>
  </sheets>
  <definedNames>
    <definedName name="_xlnm._FilterDatabase" localSheetId="0" hidden="1">Hoja1!$A$1:$AB$99</definedName>
    <definedName name="_xlnm._FilterDatabase" localSheetId="1" hidden="1">Hoja2!$A$1:$N$98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L9" i="2"/>
  <c r="M9" i="2"/>
  <c r="N9" i="2"/>
  <c r="K9" i="2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S3" i="1"/>
  <c r="S4" i="1" s="1"/>
  <c r="S5" i="1" s="1"/>
  <c r="T49" i="1" l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U5" i="1"/>
  <c r="U4" i="1"/>
  <c r="U3" i="1"/>
  <c r="S6" i="1"/>
  <c r="U6" i="1" s="1"/>
  <c r="T73" i="1" l="1"/>
  <c r="S7" i="1"/>
  <c r="U7" i="1" s="1"/>
  <c r="T74" i="1" l="1"/>
  <c r="S8" i="1"/>
  <c r="U8" i="1" s="1"/>
  <c r="T75" i="1" l="1"/>
  <c r="S9" i="1"/>
  <c r="U9" i="1" s="1"/>
  <c r="T76" i="1" l="1"/>
  <c r="S10" i="1"/>
  <c r="U10" i="1" s="1"/>
  <c r="T77" i="1" l="1"/>
  <c r="S11" i="1"/>
  <c r="U11" i="1" s="1"/>
  <c r="T78" i="1" l="1"/>
  <c r="S12" i="1"/>
  <c r="T79" i="1" l="1"/>
  <c r="S13" i="1"/>
  <c r="U12" i="1"/>
  <c r="T80" i="1" l="1"/>
  <c r="S14" i="1"/>
  <c r="U13" i="1"/>
  <c r="T81" i="1" l="1"/>
  <c r="S15" i="1"/>
  <c r="U14" i="1"/>
  <c r="T82" i="1" l="1"/>
  <c r="S16" i="1"/>
  <c r="U15" i="1"/>
  <c r="T83" i="1" l="1"/>
  <c r="S17" i="1"/>
  <c r="U16" i="1"/>
  <c r="T84" i="1" l="1"/>
  <c r="S18" i="1"/>
  <c r="U17" i="1"/>
  <c r="T85" i="1" l="1"/>
  <c r="U18" i="1"/>
  <c r="S19" i="1"/>
  <c r="T86" i="1" l="1"/>
  <c r="U19" i="1"/>
  <c r="S20" i="1"/>
  <c r="T87" i="1" l="1"/>
  <c r="U20" i="1"/>
  <c r="S21" i="1"/>
  <c r="T88" i="1" l="1"/>
  <c r="U21" i="1"/>
  <c r="S22" i="1"/>
  <c r="T89" i="1" l="1"/>
  <c r="U22" i="1"/>
  <c r="S23" i="1"/>
  <c r="T90" i="1" l="1"/>
  <c r="U23" i="1"/>
  <c r="S24" i="1"/>
  <c r="T91" i="1" l="1"/>
  <c r="U24" i="1"/>
  <c r="S25" i="1"/>
  <c r="T92" i="1" l="1"/>
  <c r="U25" i="1"/>
  <c r="S26" i="1"/>
  <c r="T93" i="1" l="1"/>
  <c r="U26" i="1"/>
  <c r="S27" i="1"/>
  <c r="T94" i="1" l="1"/>
  <c r="U27" i="1"/>
  <c r="S28" i="1"/>
  <c r="T95" i="1" l="1"/>
  <c r="U28" i="1"/>
  <c r="S29" i="1"/>
  <c r="U29" i="1" l="1"/>
  <c r="S30" i="1"/>
  <c r="U30" i="1" l="1"/>
  <c r="S31" i="1"/>
  <c r="U31" i="1" l="1"/>
  <c r="S32" i="1"/>
  <c r="U32" i="1" l="1"/>
  <c r="S33" i="1"/>
  <c r="U33" i="1" l="1"/>
  <c r="S34" i="1"/>
  <c r="U34" i="1" l="1"/>
  <c r="S35" i="1"/>
  <c r="U35" i="1" l="1"/>
  <c r="S36" i="1"/>
  <c r="U36" i="1" l="1"/>
  <c r="S37" i="1"/>
  <c r="U37" i="1" l="1"/>
  <c r="S38" i="1"/>
  <c r="U38" i="1" l="1"/>
  <c r="S39" i="1"/>
  <c r="U39" i="1" l="1"/>
  <c r="S40" i="1"/>
  <c r="U40" i="1" l="1"/>
  <c r="S41" i="1"/>
  <c r="U41" i="1" l="1"/>
  <c r="S42" i="1"/>
  <c r="U42" i="1" l="1"/>
  <c r="S43" i="1"/>
  <c r="U43" i="1" l="1"/>
  <c r="S44" i="1"/>
  <c r="U44" i="1" l="1"/>
  <c r="S45" i="1"/>
  <c r="U45" i="1" l="1"/>
  <c r="S46" i="1"/>
  <c r="U46" i="1" l="1"/>
  <c r="S47" i="1"/>
  <c r="S48" i="1" s="1"/>
  <c r="S49" i="1" l="1"/>
  <c r="U49" i="1" s="1"/>
  <c r="U48" i="1"/>
  <c r="U47" i="1"/>
  <c r="S50" i="1" l="1"/>
  <c r="U50" i="1" l="1"/>
  <c r="S51" i="1"/>
  <c r="U51" i="1" l="1"/>
  <c r="S52" i="1"/>
  <c r="U52" i="1" l="1"/>
  <c r="S53" i="1"/>
  <c r="U53" i="1" l="1"/>
  <c r="S54" i="1"/>
  <c r="U54" i="1" l="1"/>
  <c r="S55" i="1"/>
  <c r="U55" i="1" l="1"/>
  <c r="S56" i="1"/>
  <c r="U56" i="1" l="1"/>
  <c r="S57" i="1"/>
  <c r="U57" i="1" l="1"/>
  <c r="S58" i="1"/>
  <c r="U58" i="1" l="1"/>
  <c r="S59" i="1"/>
  <c r="U59" i="1" l="1"/>
  <c r="S60" i="1"/>
  <c r="U60" i="1" l="1"/>
  <c r="S61" i="1"/>
  <c r="U61" i="1" l="1"/>
  <c r="S62" i="1"/>
  <c r="U62" i="1" l="1"/>
  <c r="S63" i="1"/>
  <c r="U63" i="1" l="1"/>
  <c r="S64" i="1"/>
  <c r="U64" i="1" l="1"/>
  <c r="S65" i="1"/>
  <c r="U65" i="1" l="1"/>
  <c r="S66" i="1"/>
  <c r="U66" i="1" l="1"/>
  <c r="S67" i="1"/>
  <c r="U67" i="1" l="1"/>
  <c r="S68" i="1"/>
  <c r="U68" i="1" l="1"/>
  <c r="S69" i="1"/>
  <c r="U69" i="1" l="1"/>
  <c r="S70" i="1"/>
  <c r="U70" i="1" s="1"/>
  <c r="S71" i="1" l="1"/>
  <c r="S72" i="1" s="1"/>
  <c r="S73" i="1" l="1"/>
  <c r="U72" i="1"/>
  <c r="U71" i="1"/>
  <c r="S74" i="1" l="1"/>
  <c r="U73" i="1"/>
  <c r="S75" i="1" l="1"/>
  <c r="U74" i="1"/>
  <c r="S76" i="1" l="1"/>
  <c r="U75" i="1"/>
  <c r="S77" i="1" l="1"/>
  <c r="U76" i="1"/>
  <c r="S78" i="1" l="1"/>
  <c r="U77" i="1"/>
  <c r="S79" i="1" l="1"/>
  <c r="U78" i="1"/>
  <c r="S80" i="1" l="1"/>
  <c r="U79" i="1"/>
  <c r="S81" i="1" l="1"/>
  <c r="U80" i="1"/>
  <c r="S82" i="1" l="1"/>
  <c r="U81" i="1"/>
  <c r="S83" i="1" l="1"/>
  <c r="U82" i="1"/>
  <c r="S84" i="1" l="1"/>
  <c r="U83" i="1"/>
  <c r="S85" i="1" l="1"/>
  <c r="U84" i="1"/>
  <c r="S86" i="1" l="1"/>
  <c r="U85" i="1"/>
  <c r="S87" i="1" l="1"/>
  <c r="U86" i="1"/>
  <c r="S88" i="1" l="1"/>
  <c r="U87" i="1"/>
  <c r="S89" i="1" l="1"/>
  <c r="U88" i="1"/>
  <c r="S90" i="1" l="1"/>
  <c r="U89" i="1"/>
  <c r="S91" i="1" l="1"/>
  <c r="U90" i="1"/>
  <c r="S92" i="1" l="1"/>
  <c r="U91" i="1"/>
  <c r="S93" i="1" l="1"/>
  <c r="U92" i="1"/>
  <c r="S94" i="1" l="1"/>
  <c r="U93" i="1"/>
  <c r="S95" i="1" l="1"/>
  <c r="U94" i="1"/>
  <c r="U95" i="1" l="1"/>
</calcChain>
</file>

<file path=xl/sharedStrings.xml><?xml version="1.0" encoding="utf-8"?>
<sst xmlns="http://schemas.openxmlformats.org/spreadsheetml/2006/main" count="987" uniqueCount="84">
  <si>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</si>
  <si>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</si>
  <si>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</si>
  <si>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</si>
  <si>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</si>
  <si>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</si>
  <si>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</si>
  <si>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</si>
  <si>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</si>
  <si>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</si>
  <si>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</si>
  <si>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</si>
  <si>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</si>
  <si>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</si>
  <si>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</si>
  <si>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</si>
  <si>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</si>
  <si>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</si>
  <si>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</si>
  <si>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</si>
  <si>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</si>
  <si>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</si>
  <si>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Carlota</t>
  </si>
  <si>
    <t>Marina</t>
  </si>
  <si>
    <t>Puyi</t>
  </si>
  <si>
    <t>Moreno</t>
  </si>
  <si>
    <t>puyi</t>
  </si>
  <si>
    <t>CB CLARET BENIMACLET</t>
  </si>
  <si>
    <t>Jové</t>
  </si>
  <si>
    <t>Mar</t>
  </si>
  <si>
    <t>tac35</t>
  </si>
  <si>
    <t>t2f</t>
  </si>
  <si>
    <t>Dana</t>
  </si>
  <si>
    <t>RO a favor</t>
  </si>
  <si>
    <t>RD a favor</t>
  </si>
  <si>
    <t>RO en contra</t>
  </si>
  <si>
    <t>RD en contra</t>
  </si>
  <si>
    <t>t3c</t>
  </si>
  <si>
    <t>Punts RO rival</t>
  </si>
  <si>
    <t>t3f</t>
  </si>
  <si>
    <t>t2c</t>
  </si>
  <si>
    <t>2 arriba</t>
  </si>
  <si>
    <t>Punts RO a favor</t>
  </si>
  <si>
    <t>pèrdua</t>
  </si>
  <si>
    <t>Lado</t>
  </si>
  <si>
    <t>play</t>
  </si>
  <si>
    <t>marina</t>
  </si>
  <si>
    <t>dana</t>
  </si>
  <si>
    <t>RO</t>
  </si>
  <si>
    <t>tierno</t>
  </si>
  <si>
    <t>falta</t>
  </si>
  <si>
    <t>mar</t>
  </si>
  <si>
    <t>Contratac</t>
  </si>
  <si>
    <t>carlota</t>
  </si>
  <si>
    <t>Balibrea</t>
  </si>
  <si>
    <t>2 mano</t>
  </si>
  <si>
    <t>Falta (TLL)</t>
  </si>
  <si>
    <t>jové</t>
  </si>
  <si>
    <t>moreno</t>
  </si>
  <si>
    <t>-</t>
  </si>
  <si>
    <t>balibrea</t>
  </si>
  <si>
    <t>Maria</t>
  </si>
  <si>
    <t>2 lado</t>
  </si>
  <si>
    <t>Període</t>
  </si>
  <si>
    <t>PF de RO a favor</t>
  </si>
  <si>
    <t>PF de RO en contra</t>
  </si>
  <si>
    <t>total</t>
  </si>
  <si>
    <t>Visitant</t>
  </si>
  <si>
    <t>Cojo</t>
  </si>
  <si>
    <t>cojo</t>
  </si>
  <si>
    <t>siena</t>
  </si>
  <si>
    <t>cd</t>
  </si>
  <si>
    <t>go</t>
  </si>
  <si>
    <t>lliure</t>
  </si>
  <si>
    <t>banda</t>
  </si>
  <si>
    <t>pisa</t>
  </si>
  <si>
    <t>banda 35</t>
  </si>
  <si>
    <t>fons</t>
  </si>
  <si>
    <t>final</t>
  </si>
  <si>
    <t>zona 2</t>
  </si>
  <si>
    <t>zona 4</t>
  </si>
  <si>
    <t>maria</t>
  </si>
  <si>
    <t>lado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</si>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</sst>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5" fillId="6" borderId="0" xfId="0" applyFont="1" applyFill="1"/>
    <xf numFmtId="0" fontId="5" fillId="2" borderId="0" xfId="0" applyFont="1" applyFill="1"/>
    <xf numFmtId="0" fontId="6" fillId="3" borderId="0" xfId="0" applyFont="1" applyFill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3" fillId="3" borderId="0" xfId="0" applyFont="1" applyFill="1"/>
    <xf numFmtId="21" fontId="0" fillId="0" borderId="0" xfId="0" applyNumberFormat="1"/>
    <xf numFmtId="0" fontId="4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0" fillId="5" borderId="0" xfId="0" applyNumberFormat="1" applyFill="1"/>
    <xf numFmtId="2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A103"/>
  <sheetViews>
    <sheetView tabSelected="1" topLeftCell="A46" zoomScale="85" zoomScaleNormal="85" workbookViewId="0">
      <selection activeCell="B48" sqref="B48:E48"/>
    </sheetView>
  </sheetViews>
  <sheetFormatPr baseColWidth="10" defaultRowHeight="15" x14ac:dyDescent="0.25"/>
  <cols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42</v>
      </c>
      <c r="AA1" s="3" t="s">
        <v>38</v>
      </c>
    </row>
    <row r="2" spans="1:27" x14ac:dyDescent="0.25">
      <c r="A2" s="4">
        <v>5</v>
      </c>
      <c r="B2" t="s">
        <v>27</v>
      </c>
      <c r="C2" s="5">
        <v>45962</v>
      </c>
      <c r="D2" s="6">
        <v>0.79166666666666663</v>
      </c>
      <c r="E2" t="s">
        <v>67</v>
      </c>
      <c r="F2" s="7">
        <v>1</v>
      </c>
      <c r="G2">
        <v>9</v>
      </c>
      <c r="H2" t="s">
        <v>28</v>
      </c>
      <c r="I2" t="s">
        <v>23</v>
      </c>
      <c r="J2" t="s">
        <v>68</v>
      </c>
      <c r="K2" t="s">
        <v>24</v>
      </c>
      <c r="L2" t="s">
        <v>25</v>
      </c>
      <c r="M2" t="s">
        <v>55</v>
      </c>
      <c r="N2" t="s">
        <v>31</v>
      </c>
      <c r="P2" t="s">
        <v>69</v>
      </c>
      <c r="Q2">
        <v>0</v>
      </c>
      <c r="R2">
        <v>0</v>
      </c>
      <c r="S2">
        <v>0</v>
      </c>
      <c r="T2">
        <v>0</v>
      </c>
      <c r="U2" s="4" t="str">
        <f>T2&amp;"-"&amp;S2</f>
        <v>0-0</v>
      </c>
      <c r="X2">
        <v>1</v>
      </c>
      <c r="Y2">
        <v>1</v>
      </c>
    </row>
    <row r="3" spans="1:27" x14ac:dyDescent="0.25">
      <c r="A3" s="4">
        <v>5</v>
      </c>
      <c r="B3" t="s">
        <v>27</v>
      </c>
      <c r="C3" s="5">
        <v>45962</v>
      </c>
      <c r="D3" s="6">
        <v>0.79166666666666663</v>
      </c>
      <c r="E3" t="s">
        <v>67</v>
      </c>
      <c r="F3" s="7">
        <v>1</v>
      </c>
      <c r="G3">
        <v>9</v>
      </c>
      <c r="H3" t="s">
        <v>28</v>
      </c>
      <c r="I3" t="s">
        <v>23</v>
      </c>
      <c r="J3" t="s">
        <v>68</v>
      </c>
      <c r="K3" t="s">
        <v>24</v>
      </c>
      <c r="L3" t="s">
        <v>25</v>
      </c>
      <c r="M3" t="s">
        <v>45</v>
      </c>
      <c r="N3" t="s">
        <v>31</v>
      </c>
      <c r="P3" t="s">
        <v>26</v>
      </c>
      <c r="Q3">
        <v>0</v>
      </c>
      <c r="R3">
        <v>3</v>
      </c>
      <c r="S3">
        <f>Q3+S2</f>
        <v>0</v>
      </c>
      <c r="T3">
        <f>T2+R3</f>
        <v>3</v>
      </c>
      <c r="U3" s="4" t="str">
        <f t="shared" ref="U3:U67" si="0">T3&amp;"-"&amp;S3</f>
        <v>3-0</v>
      </c>
    </row>
    <row r="4" spans="1:27" x14ac:dyDescent="0.25">
      <c r="A4" s="4">
        <v>5</v>
      </c>
      <c r="B4" t="s">
        <v>27</v>
      </c>
      <c r="C4" s="5">
        <v>45962</v>
      </c>
      <c r="D4" s="6">
        <v>0.79166666666666696</v>
      </c>
      <c r="E4" t="s">
        <v>67</v>
      </c>
      <c r="F4" s="7">
        <v>1</v>
      </c>
      <c r="G4">
        <v>8</v>
      </c>
      <c r="H4" t="s">
        <v>28</v>
      </c>
      <c r="I4" t="s">
        <v>23</v>
      </c>
      <c r="J4" t="s">
        <v>68</v>
      </c>
      <c r="K4" t="s">
        <v>24</v>
      </c>
      <c r="L4" t="s">
        <v>25</v>
      </c>
      <c r="M4" t="s">
        <v>70</v>
      </c>
      <c r="N4" t="s">
        <v>56</v>
      </c>
      <c r="P4" t="s">
        <v>46</v>
      </c>
      <c r="Q4">
        <v>1</v>
      </c>
      <c r="R4">
        <v>0</v>
      </c>
      <c r="S4">
        <f t="shared" ref="S4:S12" si="1">Q4+S3</f>
        <v>1</v>
      </c>
      <c r="T4">
        <f t="shared" ref="T4:T12" si="2">T3+R4</f>
        <v>3</v>
      </c>
      <c r="U4" s="4" t="str">
        <f t="shared" si="0"/>
        <v>3-1</v>
      </c>
    </row>
    <row r="5" spans="1:27" x14ac:dyDescent="0.25">
      <c r="A5" s="4">
        <v>5</v>
      </c>
      <c r="B5" t="s">
        <v>27</v>
      </c>
      <c r="C5" s="5">
        <v>45962</v>
      </c>
      <c r="D5" s="6">
        <v>0.79166666666666696</v>
      </c>
      <c r="E5" t="s">
        <v>67</v>
      </c>
      <c r="F5" s="7">
        <v>1</v>
      </c>
      <c r="G5">
        <v>8</v>
      </c>
      <c r="H5" t="s">
        <v>28</v>
      </c>
      <c r="I5" t="s">
        <v>23</v>
      </c>
      <c r="J5" t="s">
        <v>68</v>
      </c>
      <c r="K5" t="s">
        <v>24</v>
      </c>
      <c r="L5" t="s">
        <v>25</v>
      </c>
      <c r="M5" t="s">
        <v>71</v>
      </c>
      <c r="N5" t="s">
        <v>43</v>
      </c>
      <c r="P5" t="s">
        <v>57</v>
      </c>
      <c r="Q5">
        <v>0</v>
      </c>
      <c r="R5">
        <v>2</v>
      </c>
      <c r="S5">
        <f t="shared" si="1"/>
        <v>1</v>
      </c>
      <c r="T5">
        <f t="shared" si="2"/>
        <v>5</v>
      </c>
      <c r="U5" s="4" t="str">
        <f t="shared" si="0"/>
        <v>5-1</v>
      </c>
    </row>
    <row r="6" spans="1:27" x14ac:dyDescent="0.25">
      <c r="A6" s="4">
        <v>5</v>
      </c>
      <c r="B6" t="s">
        <v>27</v>
      </c>
      <c r="C6" s="5">
        <v>45962</v>
      </c>
      <c r="D6" s="6">
        <v>0.79166666666666696</v>
      </c>
      <c r="E6" t="s">
        <v>67</v>
      </c>
      <c r="F6" s="7">
        <v>1</v>
      </c>
      <c r="G6">
        <v>7</v>
      </c>
      <c r="H6" t="s">
        <v>28</v>
      </c>
      <c r="I6" t="s">
        <v>23</v>
      </c>
      <c r="J6" t="s">
        <v>68</v>
      </c>
      <c r="K6" t="s">
        <v>24</v>
      </c>
      <c r="L6" t="s">
        <v>25</v>
      </c>
      <c r="M6" t="s">
        <v>72</v>
      </c>
      <c r="N6" t="s">
        <v>43</v>
      </c>
      <c r="P6" t="s">
        <v>46</v>
      </c>
      <c r="Q6">
        <v>0</v>
      </c>
      <c r="R6">
        <v>0</v>
      </c>
      <c r="S6">
        <f t="shared" si="1"/>
        <v>1</v>
      </c>
      <c r="T6">
        <f t="shared" si="2"/>
        <v>5</v>
      </c>
      <c r="U6" s="4" t="str">
        <f t="shared" si="0"/>
        <v>5-1</v>
      </c>
    </row>
    <row r="7" spans="1:27" x14ac:dyDescent="0.25">
      <c r="A7" s="4">
        <v>5</v>
      </c>
      <c r="B7" t="s">
        <v>27</v>
      </c>
      <c r="C7" s="5">
        <v>45962</v>
      </c>
      <c r="D7" s="6">
        <v>0.79166666666666696</v>
      </c>
      <c r="E7" t="s">
        <v>67</v>
      </c>
      <c r="F7" s="7">
        <v>1</v>
      </c>
      <c r="G7">
        <v>7</v>
      </c>
      <c r="H7" t="s">
        <v>28</v>
      </c>
      <c r="I7" t="s">
        <v>23</v>
      </c>
      <c r="J7" t="s">
        <v>68</v>
      </c>
      <c r="K7" t="s">
        <v>24</v>
      </c>
      <c r="L7" t="s">
        <v>25</v>
      </c>
      <c r="M7" t="s">
        <v>72</v>
      </c>
      <c r="N7" t="s">
        <v>31</v>
      </c>
      <c r="P7" t="s">
        <v>69</v>
      </c>
      <c r="Q7">
        <v>0</v>
      </c>
      <c r="R7">
        <v>2</v>
      </c>
      <c r="S7">
        <f t="shared" si="1"/>
        <v>1</v>
      </c>
      <c r="T7">
        <f t="shared" si="2"/>
        <v>7</v>
      </c>
      <c r="U7" s="4" t="str">
        <f t="shared" si="0"/>
        <v>7-1</v>
      </c>
    </row>
    <row r="8" spans="1:27" x14ac:dyDescent="0.25">
      <c r="A8" s="4">
        <v>5</v>
      </c>
      <c r="B8" t="s">
        <v>27</v>
      </c>
      <c r="C8" s="5">
        <v>45962</v>
      </c>
      <c r="D8" s="6">
        <v>0.79166666666666696</v>
      </c>
      <c r="E8" t="s">
        <v>67</v>
      </c>
      <c r="F8" s="7">
        <v>1</v>
      </c>
      <c r="G8">
        <v>6</v>
      </c>
      <c r="H8" t="s">
        <v>28</v>
      </c>
      <c r="I8" t="s">
        <v>23</v>
      </c>
      <c r="J8" t="s">
        <v>68</v>
      </c>
      <c r="K8" t="s">
        <v>24</v>
      </c>
      <c r="L8" t="s">
        <v>25</v>
      </c>
      <c r="M8" t="s">
        <v>45</v>
      </c>
      <c r="N8" t="s">
        <v>56</v>
      </c>
      <c r="P8" t="s">
        <v>58</v>
      </c>
      <c r="Q8">
        <v>1</v>
      </c>
      <c r="R8">
        <v>2</v>
      </c>
      <c r="S8">
        <f t="shared" si="1"/>
        <v>2</v>
      </c>
      <c r="T8">
        <f t="shared" si="2"/>
        <v>9</v>
      </c>
      <c r="U8" s="4" t="str">
        <f t="shared" si="0"/>
        <v>9-2</v>
      </c>
    </row>
    <row r="9" spans="1:27" x14ac:dyDescent="0.25">
      <c r="A9" s="4">
        <v>5</v>
      </c>
      <c r="B9" t="s">
        <v>27</v>
      </c>
      <c r="C9" s="5">
        <v>45962</v>
      </c>
      <c r="D9" s="6">
        <v>0.79166666666666696</v>
      </c>
      <c r="E9" t="s">
        <v>67</v>
      </c>
      <c r="F9" s="7">
        <v>1</v>
      </c>
      <c r="G9">
        <v>6</v>
      </c>
      <c r="H9" t="s">
        <v>28</v>
      </c>
      <c r="I9" t="s">
        <v>22</v>
      </c>
      <c r="J9" t="s">
        <v>23</v>
      </c>
      <c r="K9" t="s">
        <v>24</v>
      </c>
      <c r="L9" t="s">
        <v>32</v>
      </c>
      <c r="M9" t="s">
        <v>72</v>
      </c>
      <c r="N9" t="s">
        <v>31</v>
      </c>
      <c r="P9" t="s">
        <v>47</v>
      </c>
      <c r="Q9">
        <v>0</v>
      </c>
      <c r="R9">
        <v>0</v>
      </c>
      <c r="S9">
        <f t="shared" si="1"/>
        <v>2</v>
      </c>
      <c r="T9">
        <f t="shared" si="2"/>
        <v>9</v>
      </c>
      <c r="U9" s="4" t="str">
        <f t="shared" si="0"/>
        <v>9-2</v>
      </c>
    </row>
    <row r="10" spans="1:27" x14ac:dyDescent="0.25">
      <c r="A10" s="4">
        <v>5</v>
      </c>
      <c r="B10" t="s">
        <v>27</v>
      </c>
      <c r="C10" s="5">
        <v>45962</v>
      </c>
      <c r="D10" s="6">
        <v>0.79166666666666696</v>
      </c>
      <c r="E10" t="s">
        <v>67</v>
      </c>
      <c r="F10" s="7">
        <v>1</v>
      </c>
      <c r="G10">
        <v>5</v>
      </c>
      <c r="H10" t="s">
        <v>28</v>
      </c>
      <c r="I10" t="s">
        <v>22</v>
      </c>
      <c r="J10" t="s">
        <v>23</v>
      </c>
      <c r="K10" t="s">
        <v>24</v>
      </c>
      <c r="L10" t="s">
        <v>32</v>
      </c>
      <c r="M10" t="s">
        <v>73</v>
      </c>
      <c r="N10" t="s">
        <v>50</v>
      </c>
      <c r="P10" t="s">
        <v>53</v>
      </c>
      <c r="Q10">
        <v>0</v>
      </c>
      <c r="R10">
        <v>0</v>
      </c>
      <c r="S10">
        <f t="shared" si="1"/>
        <v>2</v>
      </c>
      <c r="T10">
        <f t="shared" si="2"/>
        <v>9</v>
      </c>
      <c r="U10" s="4" t="str">
        <f t="shared" si="0"/>
        <v>9-2</v>
      </c>
    </row>
    <row r="11" spans="1:27" x14ac:dyDescent="0.25">
      <c r="A11" s="4">
        <v>5</v>
      </c>
      <c r="B11" t="s">
        <v>27</v>
      </c>
      <c r="C11" s="5">
        <v>45962</v>
      </c>
      <c r="D11" s="6">
        <v>0.79166666666666696</v>
      </c>
      <c r="E11" t="s">
        <v>67</v>
      </c>
      <c r="F11" s="7">
        <v>1</v>
      </c>
      <c r="G11">
        <v>5</v>
      </c>
      <c r="H11" t="s">
        <v>21</v>
      </c>
      <c r="I11" t="s">
        <v>22</v>
      </c>
      <c r="J11" t="s">
        <v>24</v>
      </c>
      <c r="K11" t="s">
        <v>29</v>
      </c>
      <c r="L11" t="s">
        <v>32</v>
      </c>
      <c r="M11" t="s">
        <v>44</v>
      </c>
      <c r="N11" t="s">
        <v>40</v>
      </c>
      <c r="O11" t="s">
        <v>49</v>
      </c>
      <c r="P11" t="s">
        <v>26</v>
      </c>
      <c r="Q11">
        <v>2</v>
      </c>
      <c r="R11">
        <v>2</v>
      </c>
      <c r="S11">
        <f t="shared" si="1"/>
        <v>4</v>
      </c>
      <c r="T11">
        <f t="shared" si="2"/>
        <v>11</v>
      </c>
      <c r="U11" s="4" t="str">
        <f t="shared" si="0"/>
        <v>11-4</v>
      </c>
    </row>
    <row r="12" spans="1:27" x14ac:dyDescent="0.25">
      <c r="A12" s="4">
        <v>5</v>
      </c>
      <c r="B12" t="s">
        <v>27</v>
      </c>
      <c r="C12" s="5">
        <v>45962</v>
      </c>
      <c r="D12" s="6">
        <v>0.79166666666666696</v>
      </c>
      <c r="E12" t="s">
        <v>67</v>
      </c>
      <c r="F12" s="7">
        <v>1</v>
      </c>
      <c r="G12">
        <v>4</v>
      </c>
      <c r="H12" t="s">
        <v>21</v>
      </c>
      <c r="I12" t="s">
        <v>22</v>
      </c>
      <c r="J12" t="s">
        <v>24</v>
      </c>
      <c r="K12" t="s">
        <v>29</v>
      </c>
      <c r="L12" t="s">
        <v>32</v>
      </c>
      <c r="M12" t="s">
        <v>72</v>
      </c>
      <c r="N12" t="s">
        <v>39</v>
      </c>
      <c r="P12" t="s">
        <v>53</v>
      </c>
      <c r="Q12">
        <v>0</v>
      </c>
      <c r="R12">
        <v>1</v>
      </c>
      <c r="S12">
        <f t="shared" si="1"/>
        <v>4</v>
      </c>
      <c r="T12">
        <f t="shared" si="2"/>
        <v>12</v>
      </c>
      <c r="U12" s="4" t="str">
        <f t="shared" si="0"/>
        <v>12-4</v>
      </c>
      <c r="X12">
        <v>1</v>
      </c>
      <c r="AA12">
        <v>1</v>
      </c>
    </row>
    <row r="13" spans="1:27" x14ac:dyDescent="0.25">
      <c r="A13" s="4">
        <v>5</v>
      </c>
      <c r="B13" t="s">
        <v>27</v>
      </c>
      <c r="C13" s="5">
        <v>45962</v>
      </c>
      <c r="D13" s="6">
        <v>0.79166666666666696</v>
      </c>
      <c r="E13" t="s">
        <v>67</v>
      </c>
      <c r="F13" s="7">
        <v>1</v>
      </c>
      <c r="G13">
        <v>4</v>
      </c>
      <c r="H13" t="s">
        <v>21</v>
      </c>
      <c r="I13" t="s">
        <v>22</v>
      </c>
      <c r="J13" t="s">
        <v>24</v>
      </c>
      <c r="K13" t="s">
        <v>29</v>
      </c>
      <c r="L13" t="s">
        <v>32</v>
      </c>
      <c r="M13" t="s">
        <v>45</v>
      </c>
      <c r="N13" t="s">
        <v>50</v>
      </c>
      <c r="P13" t="s">
        <v>53</v>
      </c>
      <c r="Q13">
        <v>2</v>
      </c>
      <c r="R13">
        <v>0</v>
      </c>
      <c r="S13">
        <f t="shared" ref="S13:S26" si="3">Q13+S12</f>
        <v>6</v>
      </c>
      <c r="T13">
        <f t="shared" ref="T13:T26" si="4">T12+R13</f>
        <v>12</v>
      </c>
      <c r="U13" s="4" t="str">
        <f t="shared" si="0"/>
        <v>12-6</v>
      </c>
    </row>
    <row r="14" spans="1:27" x14ac:dyDescent="0.25">
      <c r="A14" s="4">
        <v>5</v>
      </c>
      <c r="B14" t="s">
        <v>27</v>
      </c>
      <c r="C14" s="5">
        <v>45962</v>
      </c>
      <c r="D14" s="6">
        <v>0.79166666666666696</v>
      </c>
      <c r="E14" t="s">
        <v>67</v>
      </c>
      <c r="F14" s="7">
        <v>1</v>
      </c>
      <c r="G14">
        <v>4</v>
      </c>
      <c r="H14" t="s">
        <v>21</v>
      </c>
      <c r="I14" t="s">
        <v>22</v>
      </c>
      <c r="J14" t="s">
        <v>24</v>
      </c>
      <c r="K14" t="s">
        <v>29</v>
      </c>
      <c r="L14" t="s">
        <v>32</v>
      </c>
      <c r="M14" t="s">
        <v>45</v>
      </c>
      <c r="N14" t="s">
        <v>31</v>
      </c>
      <c r="P14" t="s">
        <v>53</v>
      </c>
      <c r="Q14">
        <v>0</v>
      </c>
      <c r="R14">
        <v>1</v>
      </c>
      <c r="S14">
        <f t="shared" si="3"/>
        <v>6</v>
      </c>
      <c r="T14">
        <f t="shared" si="4"/>
        <v>13</v>
      </c>
      <c r="U14" s="4" t="str">
        <f t="shared" si="0"/>
        <v>13-6</v>
      </c>
    </row>
    <row r="15" spans="1:27" x14ac:dyDescent="0.25">
      <c r="A15" s="4">
        <v>5</v>
      </c>
      <c r="B15" t="s">
        <v>27</v>
      </c>
      <c r="C15" s="5">
        <v>45962</v>
      </c>
      <c r="D15" s="6">
        <v>0.79166666666666696</v>
      </c>
      <c r="E15" t="s">
        <v>67</v>
      </c>
      <c r="F15" s="7">
        <v>1</v>
      </c>
      <c r="G15">
        <v>3</v>
      </c>
      <c r="H15" t="s">
        <v>21</v>
      </c>
      <c r="I15" t="s">
        <v>22</v>
      </c>
      <c r="J15" t="s">
        <v>24</v>
      </c>
      <c r="K15" t="s">
        <v>29</v>
      </c>
      <c r="L15" t="s">
        <v>32</v>
      </c>
      <c r="M15" t="s">
        <v>30</v>
      </c>
      <c r="N15" t="s">
        <v>31</v>
      </c>
      <c r="P15" t="s">
        <v>47</v>
      </c>
      <c r="Q15">
        <v>0</v>
      </c>
      <c r="R15">
        <v>0</v>
      </c>
      <c r="S15">
        <f t="shared" si="3"/>
        <v>6</v>
      </c>
      <c r="T15">
        <f t="shared" si="4"/>
        <v>13</v>
      </c>
      <c r="U15" s="4" t="str">
        <f t="shared" si="0"/>
        <v>13-6</v>
      </c>
    </row>
    <row r="16" spans="1:27" x14ac:dyDescent="0.25">
      <c r="A16" s="4">
        <v>5</v>
      </c>
      <c r="B16" t="s">
        <v>27</v>
      </c>
      <c r="C16" s="5">
        <v>45962</v>
      </c>
      <c r="D16" s="6">
        <v>0.79166666666666696</v>
      </c>
      <c r="E16" t="s">
        <v>67</v>
      </c>
      <c r="F16" s="7">
        <v>1</v>
      </c>
      <c r="G16">
        <v>3</v>
      </c>
      <c r="H16" t="s">
        <v>21</v>
      </c>
      <c r="I16" t="s">
        <v>22</v>
      </c>
      <c r="J16" t="s">
        <v>24</v>
      </c>
      <c r="K16" t="s">
        <v>29</v>
      </c>
      <c r="L16" t="s">
        <v>32</v>
      </c>
      <c r="M16" t="s">
        <v>45</v>
      </c>
      <c r="N16" t="s">
        <v>40</v>
      </c>
      <c r="O16" t="s">
        <v>47</v>
      </c>
      <c r="P16" t="s">
        <v>53</v>
      </c>
      <c r="Q16">
        <v>2</v>
      </c>
      <c r="R16">
        <v>0</v>
      </c>
      <c r="S16">
        <f t="shared" si="3"/>
        <v>8</v>
      </c>
      <c r="T16">
        <f t="shared" si="4"/>
        <v>13</v>
      </c>
      <c r="U16" s="4" t="str">
        <f t="shared" si="0"/>
        <v>13-8</v>
      </c>
    </row>
    <row r="17" spans="1:27" x14ac:dyDescent="0.25">
      <c r="A17" s="4">
        <v>5</v>
      </c>
      <c r="B17" t="s">
        <v>27</v>
      </c>
      <c r="C17" s="5">
        <v>45962</v>
      </c>
      <c r="D17" s="6">
        <v>0.79166666666666696</v>
      </c>
      <c r="E17" t="s">
        <v>67</v>
      </c>
      <c r="F17" s="7">
        <v>1</v>
      </c>
      <c r="G17">
        <v>2</v>
      </c>
      <c r="H17" t="s">
        <v>21</v>
      </c>
      <c r="I17" t="s">
        <v>22</v>
      </c>
      <c r="J17" t="s">
        <v>24</v>
      </c>
      <c r="K17" t="s">
        <v>29</v>
      </c>
      <c r="L17" t="s">
        <v>32</v>
      </c>
      <c r="M17" t="s">
        <v>52</v>
      </c>
      <c r="N17" t="s">
        <v>50</v>
      </c>
      <c r="P17" t="s">
        <v>53</v>
      </c>
      <c r="Q17">
        <v>2</v>
      </c>
      <c r="R17">
        <v>0</v>
      </c>
      <c r="S17">
        <f t="shared" si="3"/>
        <v>10</v>
      </c>
      <c r="T17">
        <f t="shared" si="4"/>
        <v>13</v>
      </c>
      <c r="U17" s="4" t="str">
        <f t="shared" si="0"/>
        <v>13-10</v>
      </c>
    </row>
    <row r="18" spans="1:27" x14ac:dyDescent="0.25">
      <c r="A18" s="4">
        <v>5</v>
      </c>
      <c r="B18" t="s">
        <v>27</v>
      </c>
      <c r="C18" s="5">
        <v>45962</v>
      </c>
      <c r="D18" s="6">
        <v>0.79166666666666696</v>
      </c>
      <c r="E18" t="s">
        <v>67</v>
      </c>
      <c r="F18" s="7">
        <v>1</v>
      </c>
      <c r="G18">
        <v>2</v>
      </c>
      <c r="H18" t="s">
        <v>21</v>
      </c>
      <c r="I18" t="s">
        <v>22</v>
      </c>
      <c r="J18" t="s">
        <v>24</v>
      </c>
      <c r="K18" t="s">
        <v>29</v>
      </c>
      <c r="L18" t="s">
        <v>32</v>
      </c>
      <c r="M18" t="s">
        <v>73</v>
      </c>
      <c r="N18" t="s">
        <v>37</v>
      </c>
      <c r="O18" t="s">
        <v>51</v>
      </c>
      <c r="P18" t="s">
        <v>26</v>
      </c>
      <c r="Q18">
        <v>3</v>
      </c>
      <c r="R18">
        <v>3</v>
      </c>
      <c r="S18">
        <f t="shared" si="3"/>
        <v>13</v>
      </c>
      <c r="T18">
        <f t="shared" si="4"/>
        <v>16</v>
      </c>
      <c r="U18" s="4" t="str">
        <f t="shared" si="0"/>
        <v>16-13</v>
      </c>
    </row>
    <row r="19" spans="1:27" x14ac:dyDescent="0.25">
      <c r="A19" s="4">
        <v>5</v>
      </c>
      <c r="B19" t="s">
        <v>27</v>
      </c>
      <c r="C19" s="5">
        <v>45962</v>
      </c>
      <c r="D19" s="6">
        <v>0.79166666666666696</v>
      </c>
      <c r="E19" t="s">
        <v>67</v>
      </c>
      <c r="F19" s="7">
        <v>1</v>
      </c>
      <c r="G19">
        <v>1</v>
      </c>
      <c r="H19" t="s">
        <v>21</v>
      </c>
      <c r="I19" t="s">
        <v>22</v>
      </c>
      <c r="J19" t="s">
        <v>24</v>
      </c>
      <c r="K19" t="s">
        <v>29</v>
      </c>
      <c r="L19" t="s">
        <v>32</v>
      </c>
      <c r="M19" t="s">
        <v>45</v>
      </c>
      <c r="N19" t="s">
        <v>50</v>
      </c>
      <c r="P19" t="s">
        <v>53</v>
      </c>
      <c r="Q19">
        <v>1</v>
      </c>
      <c r="R19">
        <v>0</v>
      </c>
      <c r="S19">
        <f t="shared" si="3"/>
        <v>14</v>
      </c>
      <c r="T19">
        <f t="shared" si="4"/>
        <v>16</v>
      </c>
      <c r="U19" s="4" t="str">
        <f t="shared" si="0"/>
        <v>16-14</v>
      </c>
    </row>
    <row r="20" spans="1:27" x14ac:dyDescent="0.25">
      <c r="A20" s="4">
        <v>5</v>
      </c>
      <c r="B20" t="s">
        <v>27</v>
      </c>
      <c r="C20" s="5">
        <v>45962</v>
      </c>
      <c r="D20" s="6">
        <v>0.79166666666666696</v>
      </c>
      <c r="E20" t="s">
        <v>67</v>
      </c>
      <c r="F20" s="7">
        <v>1</v>
      </c>
      <c r="G20">
        <v>1</v>
      </c>
      <c r="H20" t="s">
        <v>21</v>
      </c>
      <c r="I20" t="s">
        <v>22</v>
      </c>
      <c r="J20" t="s">
        <v>68</v>
      </c>
      <c r="K20" t="s">
        <v>29</v>
      </c>
      <c r="L20" t="s">
        <v>32</v>
      </c>
      <c r="M20" t="s">
        <v>71</v>
      </c>
      <c r="N20" t="s">
        <v>43</v>
      </c>
      <c r="P20" t="s">
        <v>47</v>
      </c>
      <c r="Q20">
        <v>0</v>
      </c>
      <c r="R20">
        <v>0</v>
      </c>
      <c r="S20">
        <f t="shared" si="3"/>
        <v>14</v>
      </c>
      <c r="T20">
        <f t="shared" si="4"/>
        <v>16</v>
      </c>
      <c r="U20" s="4" t="str">
        <f t="shared" si="0"/>
        <v>16-14</v>
      </c>
      <c r="X20">
        <v>1</v>
      </c>
    </row>
    <row r="21" spans="1:27" x14ac:dyDescent="0.25">
      <c r="A21" s="4">
        <v>5</v>
      </c>
      <c r="B21" t="s">
        <v>27</v>
      </c>
      <c r="C21" s="5">
        <v>45962</v>
      </c>
      <c r="D21" s="6">
        <v>0.79166666666666696</v>
      </c>
      <c r="E21" t="s">
        <v>67</v>
      </c>
      <c r="F21" s="7">
        <v>1</v>
      </c>
      <c r="G21">
        <v>0</v>
      </c>
      <c r="H21" t="s">
        <v>21</v>
      </c>
      <c r="I21" t="s">
        <v>28</v>
      </c>
      <c r="J21" t="s">
        <v>68</v>
      </c>
      <c r="K21" t="s">
        <v>29</v>
      </c>
      <c r="L21" t="s">
        <v>32</v>
      </c>
      <c r="M21" t="s">
        <v>72</v>
      </c>
      <c r="N21" t="s">
        <v>31</v>
      </c>
      <c r="P21" t="s">
        <v>47</v>
      </c>
      <c r="Q21">
        <v>0</v>
      </c>
      <c r="R21">
        <v>4</v>
      </c>
      <c r="S21">
        <f t="shared" si="3"/>
        <v>14</v>
      </c>
      <c r="T21">
        <f t="shared" si="4"/>
        <v>20</v>
      </c>
      <c r="U21" s="4" t="str">
        <f t="shared" si="0"/>
        <v>20-14</v>
      </c>
    </row>
    <row r="22" spans="1:27" x14ac:dyDescent="0.25">
      <c r="A22" s="4">
        <v>5</v>
      </c>
      <c r="B22" t="s">
        <v>27</v>
      </c>
      <c r="C22" s="5">
        <v>45962</v>
      </c>
      <c r="D22" s="6">
        <v>0.79166666666666696</v>
      </c>
      <c r="E22" t="s">
        <v>67</v>
      </c>
      <c r="F22" s="7">
        <v>1</v>
      </c>
      <c r="G22">
        <v>0</v>
      </c>
      <c r="H22" t="s">
        <v>28</v>
      </c>
      <c r="I22" t="s">
        <v>61</v>
      </c>
      <c r="J22" t="s">
        <v>68</v>
      </c>
      <c r="K22" t="s">
        <v>29</v>
      </c>
      <c r="L22" t="s">
        <v>32</v>
      </c>
      <c r="M22" t="s">
        <v>70</v>
      </c>
      <c r="N22" t="s">
        <v>74</v>
      </c>
      <c r="P22" t="s">
        <v>59</v>
      </c>
      <c r="Q22">
        <v>0</v>
      </c>
      <c r="R22">
        <v>0</v>
      </c>
      <c r="S22">
        <f t="shared" si="3"/>
        <v>14</v>
      </c>
      <c r="T22">
        <f t="shared" si="4"/>
        <v>20</v>
      </c>
      <c r="U22" s="4" t="str">
        <f t="shared" si="0"/>
        <v>20-14</v>
      </c>
    </row>
    <row r="23" spans="1:27" x14ac:dyDescent="0.25">
      <c r="A23" s="4">
        <v>5</v>
      </c>
      <c r="B23" t="s">
        <v>27</v>
      </c>
      <c r="C23" s="5">
        <v>45962</v>
      </c>
      <c r="D23" s="6">
        <v>0.79166666666666696</v>
      </c>
      <c r="E23" t="s">
        <v>67</v>
      </c>
      <c r="F23" s="7">
        <v>1</v>
      </c>
      <c r="G23" s="7">
        <v>0</v>
      </c>
      <c r="H23" s="7" t="s">
        <v>28</v>
      </c>
      <c r="I23" s="7" t="s">
        <v>61</v>
      </c>
      <c r="J23" s="7" t="s">
        <v>68</v>
      </c>
      <c r="K23" s="7" t="s">
        <v>29</v>
      </c>
      <c r="L23" s="7" t="s">
        <v>32</v>
      </c>
      <c r="M23" s="7" t="s">
        <v>75</v>
      </c>
      <c r="N23" s="7" t="s">
        <v>43</v>
      </c>
      <c r="O23" s="7"/>
      <c r="P23" s="7" t="s">
        <v>57</v>
      </c>
      <c r="Q23" s="7">
        <v>0</v>
      </c>
      <c r="R23" s="7">
        <v>2</v>
      </c>
      <c r="S23" s="7">
        <f t="shared" si="3"/>
        <v>14</v>
      </c>
      <c r="T23" s="7">
        <f t="shared" si="4"/>
        <v>22</v>
      </c>
      <c r="U23" s="7" t="str">
        <f t="shared" si="0"/>
        <v>22-14</v>
      </c>
    </row>
    <row r="24" spans="1:27" x14ac:dyDescent="0.25">
      <c r="A24" s="4">
        <v>5</v>
      </c>
      <c r="B24" t="s">
        <v>27</v>
      </c>
      <c r="C24" s="5">
        <v>45962</v>
      </c>
      <c r="D24" s="6">
        <v>0.79166666666666696</v>
      </c>
      <c r="E24" t="s">
        <v>67</v>
      </c>
      <c r="F24" s="11">
        <v>2</v>
      </c>
      <c r="G24">
        <v>9</v>
      </c>
      <c r="H24" t="s">
        <v>22</v>
      </c>
      <c r="I24" t="s">
        <v>61</v>
      </c>
      <c r="J24" t="s">
        <v>68</v>
      </c>
      <c r="K24" t="s">
        <v>29</v>
      </c>
      <c r="L24" t="s">
        <v>32</v>
      </c>
      <c r="M24" t="s">
        <v>45</v>
      </c>
      <c r="N24" t="s">
        <v>43</v>
      </c>
      <c r="P24" t="s">
        <v>53</v>
      </c>
      <c r="Q24">
        <v>0</v>
      </c>
      <c r="R24">
        <v>2</v>
      </c>
      <c r="S24">
        <f t="shared" si="3"/>
        <v>14</v>
      </c>
      <c r="T24">
        <f t="shared" si="4"/>
        <v>24</v>
      </c>
      <c r="U24" s="4" t="str">
        <f t="shared" si="0"/>
        <v>24-14</v>
      </c>
    </row>
    <row r="25" spans="1:27" x14ac:dyDescent="0.25">
      <c r="A25" s="4">
        <v>5</v>
      </c>
      <c r="B25" t="s">
        <v>27</v>
      </c>
      <c r="C25" s="5">
        <v>45962</v>
      </c>
      <c r="D25" s="6">
        <v>0.79166666666666696</v>
      </c>
      <c r="E25" t="s">
        <v>67</v>
      </c>
      <c r="F25" s="11">
        <v>2</v>
      </c>
      <c r="G25">
        <v>9</v>
      </c>
      <c r="H25" t="s">
        <v>22</v>
      </c>
      <c r="I25" t="s">
        <v>23</v>
      </c>
      <c r="J25" t="s">
        <v>61</v>
      </c>
      <c r="K25" t="s">
        <v>24</v>
      </c>
      <c r="L25" t="s">
        <v>54</v>
      </c>
      <c r="M25" t="s">
        <v>30</v>
      </c>
      <c r="N25" t="s">
        <v>56</v>
      </c>
      <c r="P25" t="s">
        <v>60</v>
      </c>
      <c r="Q25">
        <v>1</v>
      </c>
      <c r="R25">
        <v>2</v>
      </c>
      <c r="S25">
        <f t="shared" si="3"/>
        <v>15</v>
      </c>
      <c r="T25">
        <f t="shared" si="4"/>
        <v>26</v>
      </c>
      <c r="U25" s="4" t="str">
        <f t="shared" si="0"/>
        <v>26-15</v>
      </c>
      <c r="X25">
        <v>1</v>
      </c>
      <c r="AA25">
        <v>2</v>
      </c>
    </row>
    <row r="26" spans="1:27" x14ac:dyDescent="0.25">
      <c r="A26" s="4">
        <v>5</v>
      </c>
      <c r="B26" t="s">
        <v>27</v>
      </c>
      <c r="C26" s="5">
        <v>45962</v>
      </c>
      <c r="D26" s="6">
        <v>0.79166666666666696</v>
      </c>
      <c r="E26" t="s">
        <v>67</v>
      </c>
      <c r="F26" s="11">
        <v>2</v>
      </c>
      <c r="G26">
        <v>8</v>
      </c>
      <c r="H26" t="s">
        <v>22</v>
      </c>
      <c r="I26" t="s">
        <v>23</v>
      </c>
      <c r="J26" t="s">
        <v>61</v>
      </c>
      <c r="K26" t="s">
        <v>24</v>
      </c>
      <c r="L26" t="s">
        <v>54</v>
      </c>
      <c r="M26" t="s">
        <v>45</v>
      </c>
      <c r="N26" t="s">
        <v>50</v>
      </c>
      <c r="P26" t="s">
        <v>53</v>
      </c>
      <c r="Q26">
        <v>0</v>
      </c>
      <c r="R26">
        <v>0</v>
      </c>
      <c r="S26">
        <f t="shared" si="3"/>
        <v>15</v>
      </c>
      <c r="T26">
        <f t="shared" si="4"/>
        <v>26</v>
      </c>
      <c r="U26" s="4" t="str">
        <f t="shared" si="0"/>
        <v>26-15</v>
      </c>
    </row>
    <row r="27" spans="1:27" x14ac:dyDescent="0.25">
      <c r="A27" s="4">
        <v>5</v>
      </c>
      <c r="B27" t="s">
        <v>27</v>
      </c>
      <c r="C27" s="5">
        <v>45962</v>
      </c>
      <c r="D27" s="6">
        <v>0.79166666666666696</v>
      </c>
      <c r="E27" t="s">
        <v>67</v>
      </c>
      <c r="F27" s="11">
        <v>2</v>
      </c>
      <c r="G27">
        <v>8</v>
      </c>
      <c r="H27" t="s">
        <v>22</v>
      </c>
      <c r="I27" t="s">
        <v>23</v>
      </c>
      <c r="J27" t="s">
        <v>61</v>
      </c>
      <c r="K27" t="s">
        <v>24</v>
      </c>
      <c r="L27" t="s">
        <v>54</v>
      </c>
      <c r="M27" t="s">
        <v>76</v>
      </c>
      <c r="N27" t="s">
        <v>43</v>
      </c>
      <c r="P27" t="s">
        <v>60</v>
      </c>
      <c r="Q27">
        <v>0</v>
      </c>
      <c r="R27">
        <v>2</v>
      </c>
      <c r="S27">
        <f t="shared" ref="S27:S34" si="5">Q27+S26</f>
        <v>15</v>
      </c>
      <c r="T27">
        <f t="shared" ref="T27:T34" si="6">T26+R27</f>
        <v>28</v>
      </c>
      <c r="U27" s="4" t="str">
        <f t="shared" si="0"/>
        <v>28-15</v>
      </c>
      <c r="X27">
        <v>1</v>
      </c>
      <c r="AA27">
        <v>2</v>
      </c>
    </row>
    <row r="28" spans="1:27" x14ac:dyDescent="0.25">
      <c r="A28" s="4">
        <v>5</v>
      </c>
      <c r="B28" t="s">
        <v>27</v>
      </c>
      <c r="C28" s="5">
        <v>45962</v>
      </c>
      <c r="D28" s="6">
        <v>0.79166666666666696</v>
      </c>
      <c r="E28" t="s">
        <v>67</v>
      </c>
      <c r="F28" s="11">
        <v>2</v>
      </c>
      <c r="G28" s="9">
        <v>7</v>
      </c>
      <c r="H28" s="9" t="s">
        <v>21</v>
      </c>
      <c r="I28" s="9" t="s">
        <v>22</v>
      </c>
      <c r="J28" s="9" t="s">
        <v>23</v>
      </c>
      <c r="K28" s="9" t="s">
        <v>24</v>
      </c>
      <c r="L28" s="9" t="s">
        <v>54</v>
      </c>
      <c r="M28" s="9" t="s">
        <v>55</v>
      </c>
      <c r="N28" s="9" t="s">
        <v>31</v>
      </c>
      <c r="O28" s="9"/>
      <c r="P28" s="9" t="s">
        <v>26</v>
      </c>
      <c r="Q28" s="9">
        <v>0</v>
      </c>
      <c r="R28" s="9">
        <v>0</v>
      </c>
      <c r="S28" s="9">
        <f t="shared" si="5"/>
        <v>15</v>
      </c>
      <c r="T28" s="9">
        <f t="shared" si="6"/>
        <v>28</v>
      </c>
      <c r="U28" s="10" t="str">
        <f t="shared" si="0"/>
        <v>28-15</v>
      </c>
    </row>
    <row r="29" spans="1:27" x14ac:dyDescent="0.25">
      <c r="A29" s="4">
        <v>5</v>
      </c>
      <c r="B29" t="s">
        <v>27</v>
      </c>
      <c r="C29" s="5">
        <v>45962</v>
      </c>
      <c r="D29" s="6">
        <v>0.79166666666666696</v>
      </c>
      <c r="E29" t="s">
        <v>67</v>
      </c>
      <c r="F29" s="11">
        <v>2</v>
      </c>
      <c r="G29">
        <v>7</v>
      </c>
      <c r="H29" t="s">
        <v>21</v>
      </c>
      <c r="I29" t="s">
        <v>22</v>
      </c>
      <c r="J29" t="s">
        <v>23</v>
      </c>
      <c r="K29" t="s">
        <v>24</v>
      </c>
      <c r="L29" t="s">
        <v>54</v>
      </c>
      <c r="M29" t="s">
        <v>41</v>
      </c>
      <c r="N29" t="s">
        <v>40</v>
      </c>
      <c r="O29" t="s">
        <v>53</v>
      </c>
      <c r="P29" t="s">
        <v>60</v>
      </c>
      <c r="Q29">
        <v>2</v>
      </c>
      <c r="R29">
        <v>0</v>
      </c>
      <c r="S29">
        <f t="shared" si="5"/>
        <v>17</v>
      </c>
      <c r="T29">
        <f t="shared" si="6"/>
        <v>28</v>
      </c>
      <c r="U29" s="4" t="str">
        <f t="shared" si="0"/>
        <v>28-17</v>
      </c>
      <c r="X29">
        <v>1</v>
      </c>
    </row>
    <row r="30" spans="1:27" x14ac:dyDescent="0.25">
      <c r="A30" s="4">
        <v>5</v>
      </c>
      <c r="B30" t="s">
        <v>27</v>
      </c>
      <c r="C30" s="5">
        <v>45962</v>
      </c>
      <c r="D30" s="6">
        <v>0.79166666666666696</v>
      </c>
      <c r="E30" t="s">
        <v>67</v>
      </c>
      <c r="F30" s="11">
        <v>2</v>
      </c>
      <c r="G30">
        <v>6</v>
      </c>
      <c r="H30" t="s">
        <v>21</v>
      </c>
      <c r="I30" t="s">
        <v>22</v>
      </c>
      <c r="J30" t="s">
        <v>23</v>
      </c>
      <c r="K30" t="s">
        <v>24</v>
      </c>
      <c r="L30" t="s">
        <v>54</v>
      </c>
      <c r="M30" t="s">
        <v>55</v>
      </c>
      <c r="N30" t="s">
        <v>39</v>
      </c>
      <c r="P30" t="s">
        <v>49</v>
      </c>
      <c r="Q30">
        <v>0</v>
      </c>
      <c r="R30">
        <v>0</v>
      </c>
      <c r="S30">
        <f t="shared" si="5"/>
        <v>17</v>
      </c>
      <c r="T30">
        <f t="shared" si="6"/>
        <v>28</v>
      </c>
      <c r="U30" s="4" t="str">
        <f t="shared" si="0"/>
        <v>28-17</v>
      </c>
      <c r="V30">
        <v>1</v>
      </c>
    </row>
    <row r="31" spans="1:27" x14ac:dyDescent="0.25">
      <c r="A31" s="4">
        <v>5</v>
      </c>
      <c r="B31" t="s">
        <v>27</v>
      </c>
      <c r="C31" s="5">
        <v>45962</v>
      </c>
      <c r="D31" s="6">
        <v>0.79166666666666696</v>
      </c>
      <c r="E31" t="s">
        <v>67</v>
      </c>
      <c r="F31" s="11">
        <v>2</v>
      </c>
      <c r="G31">
        <v>6</v>
      </c>
      <c r="H31" t="s">
        <v>21</v>
      </c>
      <c r="I31" t="s">
        <v>22</v>
      </c>
      <c r="J31" t="s">
        <v>23</v>
      </c>
      <c r="K31" t="s">
        <v>24</v>
      </c>
      <c r="L31" t="s">
        <v>54</v>
      </c>
      <c r="M31" t="s">
        <v>48</v>
      </c>
      <c r="N31" t="s">
        <v>31</v>
      </c>
      <c r="P31" t="s">
        <v>60</v>
      </c>
      <c r="Q31">
        <v>0</v>
      </c>
      <c r="R31">
        <v>0</v>
      </c>
      <c r="S31">
        <f t="shared" si="5"/>
        <v>17</v>
      </c>
      <c r="T31">
        <f t="shared" si="6"/>
        <v>28</v>
      </c>
      <c r="U31" t="str">
        <f t="shared" si="0"/>
        <v>28-17</v>
      </c>
    </row>
    <row r="32" spans="1:27" x14ac:dyDescent="0.25">
      <c r="A32" s="4">
        <v>5</v>
      </c>
      <c r="B32" t="s">
        <v>27</v>
      </c>
      <c r="C32" s="5">
        <v>45962</v>
      </c>
      <c r="D32" s="6">
        <v>0.79166666666666696</v>
      </c>
      <c r="E32" t="s">
        <v>67</v>
      </c>
      <c r="F32" s="11">
        <v>2</v>
      </c>
      <c r="G32">
        <v>6</v>
      </c>
      <c r="H32" t="s">
        <v>21</v>
      </c>
      <c r="I32" t="s">
        <v>22</v>
      </c>
      <c r="J32" t="s">
        <v>23</v>
      </c>
      <c r="K32" t="s">
        <v>24</v>
      </c>
      <c r="L32" t="s">
        <v>54</v>
      </c>
      <c r="M32" t="s">
        <v>52</v>
      </c>
      <c r="N32" t="s">
        <v>77</v>
      </c>
      <c r="O32" s="8"/>
      <c r="Q32">
        <v>0</v>
      </c>
      <c r="R32">
        <v>0</v>
      </c>
      <c r="S32">
        <f t="shared" si="5"/>
        <v>17</v>
      </c>
      <c r="T32">
        <f t="shared" si="6"/>
        <v>28</v>
      </c>
      <c r="U32" t="str">
        <f t="shared" si="0"/>
        <v>28-17</v>
      </c>
    </row>
    <row r="33" spans="1:24" x14ac:dyDescent="0.25">
      <c r="A33" s="4">
        <v>5</v>
      </c>
      <c r="B33" t="s">
        <v>27</v>
      </c>
      <c r="C33" s="5">
        <v>45962</v>
      </c>
      <c r="D33" s="6">
        <v>0.79166666666666696</v>
      </c>
      <c r="E33" t="s">
        <v>67</v>
      </c>
      <c r="F33" s="11">
        <v>2</v>
      </c>
      <c r="G33">
        <v>6</v>
      </c>
      <c r="H33" t="s">
        <v>21</v>
      </c>
      <c r="I33" t="s">
        <v>22</v>
      </c>
      <c r="J33" t="s">
        <v>23</v>
      </c>
      <c r="K33" t="s">
        <v>24</v>
      </c>
      <c r="L33" t="s">
        <v>54</v>
      </c>
      <c r="M33" t="s">
        <v>44</v>
      </c>
      <c r="N33" t="s">
        <v>40</v>
      </c>
      <c r="O33" t="s">
        <v>49</v>
      </c>
      <c r="P33" t="s">
        <v>53</v>
      </c>
      <c r="Q33">
        <v>2</v>
      </c>
      <c r="R33">
        <v>0</v>
      </c>
      <c r="S33">
        <f t="shared" si="5"/>
        <v>19</v>
      </c>
      <c r="T33">
        <f t="shared" si="6"/>
        <v>28</v>
      </c>
      <c r="U33" t="str">
        <f t="shared" si="0"/>
        <v>28-19</v>
      </c>
    </row>
    <row r="34" spans="1:24" x14ac:dyDescent="0.25">
      <c r="A34" s="4">
        <v>5</v>
      </c>
      <c r="B34" t="s">
        <v>27</v>
      </c>
      <c r="C34" s="5">
        <v>45962</v>
      </c>
      <c r="D34" s="6">
        <v>0.79166666666666696</v>
      </c>
      <c r="E34" t="s">
        <v>67</v>
      </c>
      <c r="F34" s="11">
        <v>2</v>
      </c>
      <c r="G34">
        <v>5</v>
      </c>
      <c r="H34" t="s">
        <v>21</v>
      </c>
      <c r="I34" t="s">
        <v>22</v>
      </c>
      <c r="J34" t="s">
        <v>23</v>
      </c>
      <c r="K34" t="s">
        <v>24</v>
      </c>
      <c r="L34" t="s">
        <v>54</v>
      </c>
      <c r="M34" t="s">
        <v>45</v>
      </c>
      <c r="N34" t="s">
        <v>39</v>
      </c>
      <c r="P34" t="s">
        <v>26</v>
      </c>
      <c r="Q34">
        <v>0</v>
      </c>
      <c r="R34">
        <v>0</v>
      </c>
      <c r="S34">
        <f t="shared" si="5"/>
        <v>19</v>
      </c>
      <c r="T34">
        <f t="shared" si="6"/>
        <v>28</v>
      </c>
      <c r="U34" s="4" t="str">
        <f t="shared" si="0"/>
        <v>28-19</v>
      </c>
      <c r="V34">
        <v>1</v>
      </c>
    </row>
    <row r="35" spans="1:24" x14ac:dyDescent="0.25">
      <c r="A35" s="4">
        <v>5</v>
      </c>
      <c r="B35" t="s">
        <v>27</v>
      </c>
      <c r="C35" s="5">
        <v>45962</v>
      </c>
      <c r="D35" s="6">
        <v>0.79166666666666696</v>
      </c>
      <c r="E35" t="s">
        <v>67</v>
      </c>
      <c r="F35" s="11">
        <v>2</v>
      </c>
      <c r="G35">
        <v>5</v>
      </c>
      <c r="H35" t="s">
        <v>21</v>
      </c>
      <c r="I35" t="s">
        <v>22</v>
      </c>
      <c r="J35" t="s">
        <v>23</v>
      </c>
      <c r="K35" t="s">
        <v>24</v>
      </c>
      <c r="L35" t="s">
        <v>54</v>
      </c>
      <c r="M35" t="s">
        <v>48</v>
      </c>
      <c r="N35" t="s">
        <v>31</v>
      </c>
      <c r="P35" t="s">
        <v>60</v>
      </c>
      <c r="Q35">
        <v>0</v>
      </c>
      <c r="R35">
        <v>0</v>
      </c>
      <c r="S35">
        <f t="shared" ref="S35:S44" si="7">Q35+S34</f>
        <v>19</v>
      </c>
      <c r="T35">
        <f t="shared" ref="T35:T44" si="8">T34+R35</f>
        <v>28</v>
      </c>
      <c r="U35" s="4" t="str">
        <f t="shared" si="0"/>
        <v>28-19</v>
      </c>
    </row>
    <row r="36" spans="1:24" x14ac:dyDescent="0.25">
      <c r="A36" s="4">
        <v>5</v>
      </c>
      <c r="B36" t="s">
        <v>27</v>
      </c>
      <c r="C36" s="5">
        <v>45962</v>
      </c>
      <c r="D36" s="6">
        <v>0.79166666666666696</v>
      </c>
      <c r="E36" t="s">
        <v>67</v>
      </c>
      <c r="F36" s="11">
        <v>2</v>
      </c>
      <c r="G36">
        <v>5</v>
      </c>
      <c r="H36" t="s">
        <v>21</v>
      </c>
      <c r="I36" t="s">
        <v>22</v>
      </c>
      <c r="J36" t="s">
        <v>23</v>
      </c>
      <c r="K36" t="s">
        <v>24</v>
      </c>
      <c r="L36" t="s">
        <v>54</v>
      </c>
      <c r="M36" t="s">
        <v>45</v>
      </c>
      <c r="N36" t="s">
        <v>39</v>
      </c>
      <c r="P36" t="s">
        <v>53</v>
      </c>
      <c r="Q36">
        <v>0</v>
      </c>
      <c r="R36">
        <v>0</v>
      </c>
      <c r="S36">
        <f t="shared" si="7"/>
        <v>19</v>
      </c>
      <c r="T36">
        <f t="shared" si="8"/>
        <v>28</v>
      </c>
      <c r="U36" s="4" t="str">
        <f t="shared" si="0"/>
        <v>28-19</v>
      </c>
    </row>
    <row r="37" spans="1:24" x14ac:dyDescent="0.25">
      <c r="A37" s="4">
        <v>5</v>
      </c>
      <c r="B37" t="s">
        <v>27</v>
      </c>
      <c r="C37" s="5">
        <v>45962</v>
      </c>
      <c r="D37" s="6">
        <v>0.79166666666666696</v>
      </c>
      <c r="E37" t="s">
        <v>67</v>
      </c>
      <c r="F37" s="19">
        <v>2</v>
      </c>
      <c r="G37" s="20">
        <v>4</v>
      </c>
      <c r="H37" s="20" t="s">
        <v>21</v>
      </c>
      <c r="I37" s="20" t="s">
        <v>22</v>
      </c>
      <c r="J37" s="20" t="s">
        <v>23</v>
      </c>
      <c r="K37" s="20" t="s">
        <v>24</v>
      </c>
      <c r="L37" s="20" t="s">
        <v>25</v>
      </c>
      <c r="M37" s="20" t="s">
        <v>45</v>
      </c>
      <c r="N37" s="20" t="s">
        <v>37</v>
      </c>
      <c r="O37" s="20" t="s">
        <v>58</v>
      </c>
      <c r="P37" s="20" t="s">
        <v>49</v>
      </c>
      <c r="Q37" s="20">
        <v>3</v>
      </c>
      <c r="R37" s="20">
        <v>0</v>
      </c>
      <c r="S37" s="20">
        <f t="shared" si="7"/>
        <v>22</v>
      </c>
      <c r="T37" s="20">
        <f t="shared" si="8"/>
        <v>28</v>
      </c>
      <c r="U37" s="21" t="str">
        <f t="shared" si="0"/>
        <v>28-22</v>
      </c>
    </row>
    <row r="38" spans="1:24" x14ac:dyDescent="0.25">
      <c r="A38" s="4">
        <v>5</v>
      </c>
      <c r="B38" t="s">
        <v>27</v>
      </c>
      <c r="C38" s="5">
        <v>45962</v>
      </c>
      <c r="D38" s="6">
        <v>0.79166666666666696</v>
      </c>
      <c r="E38" t="s">
        <v>67</v>
      </c>
      <c r="F38" s="11">
        <v>2</v>
      </c>
      <c r="G38">
        <v>4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71</v>
      </c>
      <c r="N38" t="s">
        <v>43</v>
      </c>
      <c r="P38" t="s">
        <v>26</v>
      </c>
      <c r="Q38">
        <v>0</v>
      </c>
      <c r="R38">
        <v>0</v>
      </c>
      <c r="S38">
        <f t="shared" si="7"/>
        <v>22</v>
      </c>
      <c r="T38">
        <f t="shared" si="8"/>
        <v>28</v>
      </c>
      <c r="U38" s="4" t="str">
        <f t="shared" si="0"/>
        <v>28-22</v>
      </c>
      <c r="X38">
        <v>1</v>
      </c>
    </row>
    <row r="39" spans="1:24" x14ac:dyDescent="0.25">
      <c r="A39" s="4">
        <v>5</v>
      </c>
      <c r="B39" t="s">
        <v>27</v>
      </c>
      <c r="C39" s="5">
        <v>45962</v>
      </c>
      <c r="D39" s="6">
        <v>0.79166666666666696</v>
      </c>
      <c r="E39" t="s">
        <v>67</v>
      </c>
      <c r="F39" s="11">
        <v>2</v>
      </c>
      <c r="G39">
        <v>3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73</v>
      </c>
      <c r="N39" t="s">
        <v>39</v>
      </c>
      <c r="P39" t="s">
        <v>49</v>
      </c>
      <c r="Q39">
        <v>0</v>
      </c>
      <c r="R39">
        <v>0</v>
      </c>
      <c r="S39">
        <f t="shared" si="7"/>
        <v>22</v>
      </c>
      <c r="T39">
        <f t="shared" si="8"/>
        <v>28</v>
      </c>
      <c r="U39" s="4" t="str">
        <f t="shared" si="0"/>
        <v>28-22</v>
      </c>
    </row>
    <row r="40" spans="1:24" x14ac:dyDescent="0.25">
      <c r="A40" s="4">
        <v>5</v>
      </c>
      <c r="B40" t="s">
        <v>27</v>
      </c>
      <c r="C40" s="5">
        <v>45962</v>
      </c>
      <c r="D40" s="6">
        <v>0.79166666666666696</v>
      </c>
      <c r="E40" t="s">
        <v>67</v>
      </c>
      <c r="F40" s="11">
        <v>2</v>
      </c>
      <c r="G40">
        <v>3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48</v>
      </c>
      <c r="N40" t="s">
        <v>31</v>
      </c>
      <c r="P40" t="s">
        <v>58</v>
      </c>
      <c r="Q40">
        <v>0</v>
      </c>
      <c r="R40">
        <v>0</v>
      </c>
      <c r="S40">
        <f t="shared" si="7"/>
        <v>22</v>
      </c>
      <c r="T40">
        <f t="shared" si="8"/>
        <v>28</v>
      </c>
      <c r="U40" t="str">
        <f t="shared" si="0"/>
        <v>28-22</v>
      </c>
      <c r="V40">
        <v>1</v>
      </c>
    </row>
    <row r="41" spans="1:24" x14ac:dyDescent="0.25">
      <c r="A41" s="4">
        <v>5</v>
      </c>
      <c r="B41" t="s">
        <v>27</v>
      </c>
      <c r="C41" s="5">
        <v>45962</v>
      </c>
      <c r="D41" s="6">
        <v>0.79166666666666696</v>
      </c>
      <c r="E41" t="s">
        <v>67</v>
      </c>
      <c r="F41" s="11">
        <v>2</v>
      </c>
      <c r="G41">
        <v>3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78</v>
      </c>
      <c r="N41" t="s">
        <v>31</v>
      </c>
      <c r="P41" t="s">
        <v>53</v>
      </c>
      <c r="Q41">
        <v>0</v>
      </c>
      <c r="R41">
        <v>0</v>
      </c>
      <c r="S41">
        <f t="shared" si="7"/>
        <v>22</v>
      </c>
      <c r="T41">
        <f t="shared" si="8"/>
        <v>28</v>
      </c>
      <c r="U41" t="str">
        <f t="shared" si="0"/>
        <v>28-22</v>
      </c>
      <c r="V41">
        <v>1</v>
      </c>
    </row>
    <row r="42" spans="1:24" x14ac:dyDescent="0.25">
      <c r="A42" s="4">
        <v>5</v>
      </c>
      <c r="B42" t="s">
        <v>27</v>
      </c>
      <c r="C42" s="5">
        <v>45962</v>
      </c>
      <c r="D42" s="6">
        <v>0.79166666666666696</v>
      </c>
      <c r="E42" t="s">
        <v>67</v>
      </c>
      <c r="F42" s="11">
        <v>2</v>
      </c>
      <c r="G42">
        <v>3</v>
      </c>
      <c r="H42" t="s">
        <v>21</v>
      </c>
      <c r="I42" t="s">
        <v>23</v>
      </c>
      <c r="J42" t="s">
        <v>24</v>
      </c>
      <c r="K42" t="s">
        <v>29</v>
      </c>
      <c r="L42" t="s">
        <v>25</v>
      </c>
      <c r="M42" t="s">
        <v>62</v>
      </c>
      <c r="N42" t="s">
        <v>43</v>
      </c>
      <c r="P42" t="s">
        <v>46</v>
      </c>
      <c r="Q42">
        <v>0</v>
      </c>
      <c r="R42">
        <v>0</v>
      </c>
      <c r="S42">
        <f t="shared" si="7"/>
        <v>22</v>
      </c>
      <c r="T42">
        <f t="shared" si="8"/>
        <v>28</v>
      </c>
      <c r="U42" t="str">
        <f t="shared" si="0"/>
        <v>28-22</v>
      </c>
      <c r="X42">
        <v>2</v>
      </c>
    </row>
    <row r="43" spans="1:24" x14ac:dyDescent="0.25">
      <c r="A43" s="4">
        <v>5</v>
      </c>
      <c r="B43" t="s">
        <v>27</v>
      </c>
      <c r="C43" s="5">
        <v>45962</v>
      </c>
      <c r="D43" s="6">
        <v>0.79166666666666696</v>
      </c>
      <c r="E43" t="s">
        <v>67</v>
      </c>
      <c r="F43" s="22">
        <v>2</v>
      </c>
      <c r="G43" s="9">
        <v>2</v>
      </c>
      <c r="H43" s="9" t="s">
        <v>28</v>
      </c>
      <c r="I43" s="9" t="s">
        <v>23</v>
      </c>
      <c r="J43" s="9" t="s">
        <v>24</v>
      </c>
      <c r="K43" s="9" t="s">
        <v>29</v>
      </c>
      <c r="L43" s="9" t="s">
        <v>25</v>
      </c>
      <c r="M43" s="9" t="s">
        <v>45</v>
      </c>
      <c r="N43" s="9" t="s">
        <v>43</v>
      </c>
      <c r="O43" s="9"/>
      <c r="P43" s="9" t="s">
        <v>46</v>
      </c>
      <c r="Q43" s="9">
        <v>0</v>
      </c>
      <c r="R43" s="9">
        <v>6</v>
      </c>
      <c r="S43" s="9">
        <f t="shared" si="7"/>
        <v>22</v>
      </c>
      <c r="T43" s="9">
        <f t="shared" si="8"/>
        <v>34</v>
      </c>
      <c r="U43" s="10" t="str">
        <f t="shared" si="0"/>
        <v>34-22</v>
      </c>
    </row>
    <row r="44" spans="1:24" x14ac:dyDescent="0.25">
      <c r="A44" s="4">
        <v>5</v>
      </c>
      <c r="B44" t="s">
        <v>27</v>
      </c>
      <c r="C44" s="5">
        <v>45962</v>
      </c>
      <c r="D44" s="6">
        <v>0.79166666666666696</v>
      </c>
      <c r="E44" t="s">
        <v>67</v>
      </c>
      <c r="F44" s="11">
        <v>2</v>
      </c>
      <c r="G44">
        <v>2</v>
      </c>
      <c r="H44" t="s">
        <v>28</v>
      </c>
      <c r="I44" t="s">
        <v>22</v>
      </c>
      <c r="J44" t="s">
        <v>24</v>
      </c>
      <c r="K44" t="s">
        <v>29</v>
      </c>
      <c r="L44" t="s">
        <v>32</v>
      </c>
      <c r="M44" t="s">
        <v>55</v>
      </c>
      <c r="N44" t="s">
        <v>31</v>
      </c>
      <c r="P44" t="s">
        <v>26</v>
      </c>
      <c r="Q44">
        <v>0</v>
      </c>
      <c r="R44">
        <v>0</v>
      </c>
      <c r="S44">
        <f t="shared" si="7"/>
        <v>22</v>
      </c>
      <c r="T44">
        <f t="shared" si="8"/>
        <v>34</v>
      </c>
      <c r="U44" s="4" t="str">
        <f t="shared" si="0"/>
        <v>34-22</v>
      </c>
    </row>
    <row r="45" spans="1:24" x14ac:dyDescent="0.25">
      <c r="A45" s="4">
        <v>5</v>
      </c>
      <c r="B45" t="s">
        <v>27</v>
      </c>
      <c r="C45" s="5">
        <v>45962</v>
      </c>
      <c r="D45" s="6">
        <v>0.79166666666666696</v>
      </c>
      <c r="E45" t="s">
        <v>67</v>
      </c>
      <c r="F45" s="11">
        <v>2</v>
      </c>
      <c r="G45">
        <v>1</v>
      </c>
      <c r="H45" t="s">
        <v>28</v>
      </c>
      <c r="I45" t="s">
        <v>22</v>
      </c>
      <c r="J45" t="s">
        <v>24</v>
      </c>
      <c r="K45" t="s">
        <v>29</v>
      </c>
      <c r="L45" t="s">
        <v>32</v>
      </c>
      <c r="M45" t="s">
        <v>45</v>
      </c>
      <c r="N45" t="s">
        <v>39</v>
      </c>
      <c r="P45" t="s">
        <v>26</v>
      </c>
      <c r="Q45">
        <v>0</v>
      </c>
      <c r="R45">
        <v>0</v>
      </c>
      <c r="S45">
        <f t="shared" ref="S45:S51" si="9">Q45+S44</f>
        <v>22</v>
      </c>
      <c r="T45">
        <f t="shared" ref="T45:T51" si="10">T44+R45</f>
        <v>34</v>
      </c>
      <c r="U45" s="4" t="str">
        <f t="shared" si="0"/>
        <v>34-22</v>
      </c>
      <c r="V45">
        <v>1</v>
      </c>
    </row>
    <row r="46" spans="1:24" x14ac:dyDescent="0.25">
      <c r="A46" s="4">
        <v>5</v>
      </c>
      <c r="B46" t="s">
        <v>27</v>
      </c>
      <c r="C46" s="5">
        <v>45962</v>
      </c>
      <c r="D46" s="6">
        <v>0.79166666666666696</v>
      </c>
      <c r="E46" t="s">
        <v>67</v>
      </c>
      <c r="F46" s="11">
        <v>2</v>
      </c>
      <c r="G46">
        <v>1</v>
      </c>
      <c r="H46" t="s">
        <v>28</v>
      </c>
      <c r="I46" t="s">
        <v>22</v>
      </c>
      <c r="J46" t="s">
        <v>24</v>
      </c>
      <c r="K46" t="s">
        <v>29</v>
      </c>
      <c r="L46" t="s">
        <v>32</v>
      </c>
      <c r="M46" t="s">
        <v>48</v>
      </c>
      <c r="N46" t="s">
        <v>39</v>
      </c>
      <c r="P46" t="s">
        <v>53</v>
      </c>
      <c r="Q46">
        <v>0</v>
      </c>
      <c r="R46">
        <v>0</v>
      </c>
      <c r="S46">
        <f t="shared" si="9"/>
        <v>22</v>
      </c>
      <c r="T46">
        <f t="shared" si="10"/>
        <v>34</v>
      </c>
      <c r="U46" s="4" t="str">
        <f t="shared" si="0"/>
        <v>34-22</v>
      </c>
    </row>
    <row r="47" spans="1:24" x14ac:dyDescent="0.25">
      <c r="A47" s="4">
        <v>5</v>
      </c>
      <c r="B47" t="s">
        <v>27</v>
      </c>
      <c r="C47" s="5">
        <v>45962</v>
      </c>
      <c r="D47" s="6">
        <v>0.79166666666666696</v>
      </c>
      <c r="E47" t="s">
        <v>67</v>
      </c>
      <c r="F47" s="11">
        <v>2</v>
      </c>
      <c r="G47">
        <v>1</v>
      </c>
      <c r="H47" t="s">
        <v>28</v>
      </c>
      <c r="I47" t="s">
        <v>22</v>
      </c>
      <c r="J47" t="s">
        <v>24</v>
      </c>
      <c r="K47" t="s">
        <v>29</v>
      </c>
      <c r="L47" t="s">
        <v>32</v>
      </c>
      <c r="M47" t="s">
        <v>71</v>
      </c>
      <c r="N47" t="s">
        <v>43</v>
      </c>
      <c r="P47" t="s">
        <v>51</v>
      </c>
      <c r="Q47">
        <v>0</v>
      </c>
      <c r="R47">
        <v>0</v>
      </c>
      <c r="S47">
        <f t="shared" si="9"/>
        <v>22</v>
      </c>
      <c r="T47">
        <f>T46+R47</f>
        <v>34</v>
      </c>
      <c r="U47" s="4" t="str">
        <f t="shared" si="0"/>
        <v>34-22</v>
      </c>
    </row>
    <row r="48" spans="1:24" x14ac:dyDescent="0.25">
      <c r="A48" s="4">
        <v>5</v>
      </c>
      <c r="B48" t="s">
        <v>27</v>
      </c>
      <c r="C48" s="5">
        <v>45962</v>
      </c>
      <c r="D48" s="6">
        <v>0.79166666666666696</v>
      </c>
      <c r="E48" t="s">
        <v>67</v>
      </c>
      <c r="F48" s="11"/>
      <c r="G48">
        <v>0</v>
      </c>
      <c r="H48" t="s">
        <v>28</v>
      </c>
      <c r="I48" t="s">
        <v>22</v>
      </c>
      <c r="J48" t="s">
        <v>24</v>
      </c>
      <c r="K48" t="s">
        <v>29</v>
      </c>
      <c r="L48" t="s">
        <v>32</v>
      </c>
      <c r="M48" t="s">
        <v>30</v>
      </c>
      <c r="N48" t="s">
        <v>56</v>
      </c>
      <c r="P48" t="s">
        <v>51</v>
      </c>
      <c r="Q48">
        <v>1</v>
      </c>
      <c r="R48">
        <v>0</v>
      </c>
      <c r="S48">
        <f t="shared" ref="S48:S49" si="11">Q48+S47</f>
        <v>23</v>
      </c>
      <c r="T48">
        <f t="shared" ref="T48:T49" si="12">T47+R48</f>
        <v>34</v>
      </c>
      <c r="U48" s="4" t="str">
        <f t="shared" ref="U48:U49" si="13">T48&amp;"-"&amp;S48</f>
        <v>34-23</v>
      </c>
    </row>
    <row r="49" spans="1:27" x14ac:dyDescent="0.25">
      <c r="A49" s="4">
        <v>5</v>
      </c>
      <c r="B49" t="s">
        <v>27</v>
      </c>
      <c r="C49" s="5">
        <v>45962</v>
      </c>
      <c r="D49" s="6">
        <v>0.79166666666666696</v>
      </c>
      <c r="E49" t="s">
        <v>67</v>
      </c>
      <c r="F49" s="11">
        <v>2</v>
      </c>
      <c r="G49" s="11">
        <v>0</v>
      </c>
      <c r="H49" s="11" t="s">
        <v>28</v>
      </c>
      <c r="I49" s="11" t="s">
        <v>22</v>
      </c>
      <c r="J49" s="11" t="s">
        <v>24</v>
      </c>
      <c r="K49" s="11" t="s">
        <v>29</v>
      </c>
      <c r="L49" s="11" t="s">
        <v>32</v>
      </c>
      <c r="M49" s="11" t="s">
        <v>70</v>
      </c>
      <c r="N49" s="11" t="s">
        <v>31</v>
      </c>
      <c r="O49" s="11"/>
      <c r="P49" s="11" t="s">
        <v>53</v>
      </c>
      <c r="Q49" s="11">
        <v>0</v>
      </c>
      <c r="R49" s="11">
        <v>0</v>
      </c>
      <c r="S49" s="11">
        <f t="shared" si="11"/>
        <v>23</v>
      </c>
      <c r="T49" s="11">
        <f t="shared" si="12"/>
        <v>34</v>
      </c>
      <c r="U49" s="11" t="str">
        <f t="shared" si="13"/>
        <v>34-23</v>
      </c>
    </row>
    <row r="50" spans="1:27" x14ac:dyDescent="0.25">
      <c r="A50" s="4">
        <v>5</v>
      </c>
      <c r="B50" t="s">
        <v>27</v>
      </c>
      <c r="C50" s="5">
        <v>45962</v>
      </c>
      <c r="D50" s="6">
        <v>0.79166666666666696</v>
      </c>
      <c r="E50" t="s">
        <v>67</v>
      </c>
      <c r="F50" s="12">
        <v>3</v>
      </c>
      <c r="G50">
        <v>9</v>
      </c>
      <c r="H50" t="s">
        <v>28</v>
      </c>
      <c r="I50" t="s">
        <v>22</v>
      </c>
      <c r="J50" t="s">
        <v>68</v>
      </c>
      <c r="K50" t="s">
        <v>29</v>
      </c>
      <c r="L50" t="s">
        <v>32</v>
      </c>
      <c r="M50" t="s">
        <v>79</v>
      </c>
      <c r="N50" t="s">
        <v>31</v>
      </c>
      <c r="P50" t="s">
        <v>51</v>
      </c>
      <c r="Q50">
        <v>0</v>
      </c>
      <c r="R50">
        <v>0</v>
      </c>
      <c r="S50">
        <f t="shared" si="9"/>
        <v>23</v>
      </c>
      <c r="T50">
        <f>T49+R50</f>
        <v>34</v>
      </c>
      <c r="U50" s="4" t="str">
        <f t="shared" si="0"/>
        <v>34-23</v>
      </c>
    </row>
    <row r="51" spans="1:27" x14ac:dyDescent="0.25">
      <c r="A51" s="4">
        <v>5</v>
      </c>
      <c r="B51" t="s">
        <v>27</v>
      </c>
      <c r="C51" s="5">
        <v>45962</v>
      </c>
      <c r="D51" s="6">
        <v>0.79166666666666696</v>
      </c>
      <c r="E51" t="s">
        <v>67</v>
      </c>
      <c r="F51" s="12">
        <v>3</v>
      </c>
      <c r="G51">
        <v>9</v>
      </c>
      <c r="H51" t="s">
        <v>28</v>
      </c>
      <c r="I51" t="s">
        <v>22</v>
      </c>
      <c r="J51" t="s">
        <v>68</v>
      </c>
      <c r="K51" t="s">
        <v>29</v>
      </c>
      <c r="L51" t="s">
        <v>32</v>
      </c>
      <c r="M51" t="s">
        <v>52</v>
      </c>
      <c r="N51" t="s">
        <v>40</v>
      </c>
      <c r="P51" t="s">
        <v>53</v>
      </c>
      <c r="Q51">
        <v>2</v>
      </c>
      <c r="R51">
        <v>0</v>
      </c>
      <c r="S51">
        <f t="shared" si="9"/>
        <v>25</v>
      </c>
      <c r="T51">
        <f t="shared" si="10"/>
        <v>34</v>
      </c>
      <c r="U51" s="4" t="str">
        <f t="shared" si="0"/>
        <v>34-25</v>
      </c>
    </row>
    <row r="52" spans="1:27" x14ac:dyDescent="0.25">
      <c r="A52" s="4">
        <v>5</v>
      </c>
      <c r="B52" t="s">
        <v>27</v>
      </c>
      <c r="C52" s="5">
        <v>45962</v>
      </c>
      <c r="D52" s="6">
        <v>0.79166666666666696</v>
      </c>
      <c r="E52" t="s">
        <v>67</v>
      </c>
      <c r="F52" s="12">
        <v>3</v>
      </c>
      <c r="G52">
        <v>8</v>
      </c>
      <c r="H52" t="s">
        <v>28</v>
      </c>
      <c r="I52" t="s">
        <v>22</v>
      </c>
      <c r="J52" t="s">
        <v>68</v>
      </c>
      <c r="K52" t="s">
        <v>29</v>
      </c>
      <c r="L52" t="s">
        <v>32</v>
      </c>
      <c r="M52" t="s">
        <v>80</v>
      </c>
      <c r="N52" t="s">
        <v>39</v>
      </c>
      <c r="P52" t="s">
        <v>53</v>
      </c>
      <c r="Q52">
        <v>0</v>
      </c>
      <c r="R52">
        <v>0</v>
      </c>
      <c r="S52">
        <f t="shared" ref="S52:S69" si="14">Q52+S51</f>
        <v>25</v>
      </c>
      <c r="T52">
        <f t="shared" ref="T52:T69" si="15">T51+R52</f>
        <v>34</v>
      </c>
      <c r="U52" s="4" t="str">
        <f t="shared" si="0"/>
        <v>34-25</v>
      </c>
    </row>
    <row r="53" spans="1:27" x14ac:dyDescent="0.25">
      <c r="A53" s="4">
        <v>5</v>
      </c>
      <c r="B53" t="s">
        <v>27</v>
      </c>
      <c r="C53" s="5">
        <v>45962</v>
      </c>
      <c r="D53" s="6">
        <v>0.79166666666666696</v>
      </c>
      <c r="E53" t="s">
        <v>67</v>
      </c>
      <c r="F53" s="12">
        <v>3</v>
      </c>
      <c r="G53">
        <v>8</v>
      </c>
      <c r="H53" t="s">
        <v>28</v>
      </c>
      <c r="I53" t="s">
        <v>22</v>
      </c>
      <c r="J53" t="s">
        <v>68</v>
      </c>
      <c r="K53" t="s">
        <v>29</v>
      </c>
      <c r="L53" t="s">
        <v>32</v>
      </c>
      <c r="M53" t="s">
        <v>48</v>
      </c>
      <c r="N53" t="s">
        <v>31</v>
      </c>
      <c r="P53" t="s">
        <v>57</v>
      </c>
      <c r="Q53">
        <v>0</v>
      </c>
      <c r="R53">
        <v>0</v>
      </c>
      <c r="S53">
        <f t="shared" si="14"/>
        <v>25</v>
      </c>
      <c r="T53">
        <f t="shared" si="15"/>
        <v>34</v>
      </c>
      <c r="U53" s="4" t="str">
        <f t="shared" si="0"/>
        <v>34-25</v>
      </c>
      <c r="V53">
        <v>1</v>
      </c>
    </row>
    <row r="54" spans="1:27" x14ac:dyDescent="0.25">
      <c r="A54" s="4">
        <v>5</v>
      </c>
      <c r="B54" t="s">
        <v>27</v>
      </c>
      <c r="C54" s="5">
        <v>45962</v>
      </c>
      <c r="D54" s="6">
        <v>0.79166666666666696</v>
      </c>
      <c r="E54" t="s">
        <v>67</v>
      </c>
      <c r="F54" s="12">
        <v>3</v>
      </c>
      <c r="G54">
        <v>8</v>
      </c>
      <c r="H54" t="s">
        <v>28</v>
      </c>
      <c r="I54" t="s">
        <v>22</v>
      </c>
      <c r="J54" t="s">
        <v>68</v>
      </c>
      <c r="K54" t="s">
        <v>29</v>
      </c>
      <c r="L54" t="s">
        <v>32</v>
      </c>
      <c r="M54" t="s">
        <v>48</v>
      </c>
      <c r="N54" t="s">
        <v>40</v>
      </c>
      <c r="P54" t="s">
        <v>69</v>
      </c>
      <c r="Q54">
        <v>2</v>
      </c>
      <c r="R54">
        <v>0</v>
      </c>
      <c r="S54">
        <f t="shared" si="14"/>
        <v>27</v>
      </c>
      <c r="T54">
        <f t="shared" si="15"/>
        <v>34</v>
      </c>
      <c r="U54" s="4" t="str">
        <f t="shared" si="0"/>
        <v>34-27</v>
      </c>
      <c r="V54">
        <v>1</v>
      </c>
      <c r="Z54">
        <v>2</v>
      </c>
    </row>
    <row r="55" spans="1:27" x14ac:dyDescent="0.25">
      <c r="A55" s="4">
        <v>5</v>
      </c>
      <c r="B55" t="s">
        <v>27</v>
      </c>
      <c r="C55" s="5">
        <v>45962</v>
      </c>
      <c r="D55" s="6">
        <v>0.79166666666666696</v>
      </c>
      <c r="E55" t="s">
        <v>67</v>
      </c>
      <c r="F55" s="12">
        <v>3</v>
      </c>
      <c r="G55">
        <v>7</v>
      </c>
      <c r="H55" t="s">
        <v>28</v>
      </c>
      <c r="I55" t="s">
        <v>22</v>
      </c>
      <c r="J55" t="s">
        <v>68</v>
      </c>
      <c r="K55" t="s">
        <v>29</v>
      </c>
      <c r="L55" t="s">
        <v>32</v>
      </c>
      <c r="M55" t="s">
        <v>73</v>
      </c>
      <c r="N55" t="s">
        <v>39</v>
      </c>
      <c r="P55" t="s">
        <v>51</v>
      </c>
      <c r="Q55">
        <v>0</v>
      </c>
      <c r="R55">
        <v>2</v>
      </c>
      <c r="S55">
        <f t="shared" si="14"/>
        <v>27</v>
      </c>
      <c r="T55">
        <f t="shared" si="15"/>
        <v>36</v>
      </c>
      <c r="U55" s="4" t="str">
        <f t="shared" si="0"/>
        <v>36-27</v>
      </c>
    </row>
    <row r="56" spans="1:27" x14ac:dyDescent="0.25">
      <c r="A56" s="4">
        <v>5</v>
      </c>
      <c r="B56" t="s">
        <v>27</v>
      </c>
      <c r="C56" s="5">
        <v>45962</v>
      </c>
      <c r="D56" s="6">
        <v>0.79166666666666696</v>
      </c>
      <c r="E56" t="s">
        <v>67</v>
      </c>
      <c r="F56" s="12">
        <v>3</v>
      </c>
      <c r="G56">
        <v>7</v>
      </c>
      <c r="H56" t="s">
        <v>28</v>
      </c>
      <c r="I56" t="s">
        <v>22</v>
      </c>
      <c r="J56" t="s">
        <v>68</v>
      </c>
      <c r="K56" t="s">
        <v>29</v>
      </c>
      <c r="L56" t="s">
        <v>32</v>
      </c>
      <c r="M56" t="s">
        <v>80</v>
      </c>
      <c r="N56" t="s">
        <v>31</v>
      </c>
      <c r="P56" t="s">
        <v>57</v>
      </c>
      <c r="Q56">
        <v>0</v>
      </c>
      <c r="R56">
        <v>0</v>
      </c>
      <c r="S56">
        <f t="shared" si="14"/>
        <v>27</v>
      </c>
      <c r="T56">
        <f t="shared" si="15"/>
        <v>36</v>
      </c>
      <c r="U56" s="4" t="str">
        <f t="shared" si="0"/>
        <v>36-27</v>
      </c>
    </row>
    <row r="57" spans="1:27" x14ac:dyDescent="0.25">
      <c r="A57" s="4">
        <v>5</v>
      </c>
      <c r="B57" t="s">
        <v>27</v>
      </c>
      <c r="C57" s="5">
        <v>45962</v>
      </c>
      <c r="D57" s="6">
        <v>0.79166666666666696</v>
      </c>
      <c r="E57" t="s">
        <v>67</v>
      </c>
      <c r="F57" s="12">
        <v>3</v>
      </c>
      <c r="G57">
        <v>6</v>
      </c>
      <c r="H57" t="s">
        <v>28</v>
      </c>
      <c r="I57" t="s">
        <v>22</v>
      </c>
      <c r="J57" t="s">
        <v>68</v>
      </c>
      <c r="K57" t="s">
        <v>29</v>
      </c>
      <c r="L57" t="s">
        <v>32</v>
      </c>
      <c r="M57" t="s">
        <v>80</v>
      </c>
      <c r="N57" t="s">
        <v>39</v>
      </c>
      <c r="P57" t="s">
        <v>69</v>
      </c>
      <c r="Q57">
        <v>0</v>
      </c>
      <c r="R57">
        <v>0</v>
      </c>
      <c r="S57">
        <f t="shared" si="14"/>
        <v>27</v>
      </c>
      <c r="T57">
        <f t="shared" si="15"/>
        <v>36</v>
      </c>
      <c r="U57" s="4" t="str">
        <f t="shared" si="0"/>
        <v>36-27</v>
      </c>
      <c r="V57">
        <v>1</v>
      </c>
    </row>
    <row r="58" spans="1:27" x14ac:dyDescent="0.25">
      <c r="A58" s="4">
        <v>5</v>
      </c>
      <c r="B58" t="s">
        <v>27</v>
      </c>
      <c r="C58" s="5">
        <v>45962</v>
      </c>
      <c r="D58" s="6">
        <v>0.79166666666666696</v>
      </c>
      <c r="E58" t="s">
        <v>67</v>
      </c>
      <c r="F58" s="12">
        <v>3</v>
      </c>
      <c r="G58">
        <v>6</v>
      </c>
      <c r="H58" t="s">
        <v>28</v>
      </c>
      <c r="I58" t="s">
        <v>22</v>
      </c>
      <c r="J58" t="s">
        <v>68</v>
      </c>
      <c r="K58" t="s">
        <v>29</v>
      </c>
      <c r="L58" t="s">
        <v>32</v>
      </c>
      <c r="M58" t="s">
        <v>79</v>
      </c>
      <c r="N58" t="s">
        <v>39</v>
      </c>
      <c r="P58" t="s">
        <v>57</v>
      </c>
      <c r="Q58">
        <v>0</v>
      </c>
      <c r="R58">
        <v>1</v>
      </c>
      <c r="S58">
        <f t="shared" si="14"/>
        <v>27</v>
      </c>
      <c r="T58">
        <f t="shared" si="15"/>
        <v>37</v>
      </c>
      <c r="U58" s="4" t="str">
        <f t="shared" si="0"/>
        <v>37-27</v>
      </c>
      <c r="X58">
        <v>2</v>
      </c>
      <c r="AA58">
        <v>1</v>
      </c>
    </row>
    <row r="59" spans="1:27" x14ac:dyDescent="0.25">
      <c r="A59" s="4">
        <v>5</v>
      </c>
      <c r="B59" t="s">
        <v>27</v>
      </c>
      <c r="C59" s="5">
        <v>45962</v>
      </c>
      <c r="D59" s="6">
        <v>0.79166666666666696</v>
      </c>
      <c r="E59" t="s">
        <v>67</v>
      </c>
      <c r="F59" s="12">
        <v>3</v>
      </c>
      <c r="G59">
        <v>5</v>
      </c>
      <c r="H59" t="s">
        <v>22</v>
      </c>
      <c r="I59" t="s">
        <v>61</v>
      </c>
      <c r="J59" t="s">
        <v>24</v>
      </c>
      <c r="K59" t="s">
        <v>29</v>
      </c>
      <c r="L59" t="s">
        <v>32</v>
      </c>
      <c r="M59" t="s">
        <v>79</v>
      </c>
      <c r="N59" t="s">
        <v>31</v>
      </c>
      <c r="P59" t="s">
        <v>51</v>
      </c>
      <c r="Q59">
        <v>0</v>
      </c>
      <c r="R59">
        <v>0</v>
      </c>
      <c r="S59">
        <f t="shared" si="14"/>
        <v>27</v>
      </c>
      <c r="T59">
        <f t="shared" si="15"/>
        <v>37</v>
      </c>
      <c r="U59" s="4" t="str">
        <f t="shared" si="0"/>
        <v>37-27</v>
      </c>
    </row>
    <row r="60" spans="1:27" x14ac:dyDescent="0.25">
      <c r="A60" s="4">
        <v>5</v>
      </c>
      <c r="B60" t="s">
        <v>27</v>
      </c>
      <c r="C60" s="5">
        <v>45962</v>
      </c>
      <c r="D60" s="6">
        <v>0.79166666666666696</v>
      </c>
      <c r="E60" t="s">
        <v>67</v>
      </c>
      <c r="F60" s="12">
        <v>3</v>
      </c>
      <c r="G60">
        <v>5</v>
      </c>
      <c r="H60" t="s">
        <v>22</v>
      </c>
      <c r="I60" t="s">
        <v>61</v>
      </c>
      <c r="J60" t="s">
        <v>24</v>
      </c>
      <c r="K60" t="s">
        <v>29</v>
      </c>
      <c r="L60" t="s">
        <v>32</v>
      </c>
      <c r="M60" t="s">
        <v>52</v>
      </c>
      <c r="N60" t="s">
        <v>43</v>
      </c>
      <c r="P60" t="s">
        <v>53</v>
      </c>
      <c r="Q60">
        <v>0</v>
      </c>
      <c r="R60">
        <v>0</v>
      </c>
      <c r="S60">
        <f t="shared" si="14"/>
        <v>27</v>
      </c>
      <c r="T60">
        <f t="shared" si="15"/>
        <v>37</v>
      </c>
      <c r="U60" s="4" t="str">
        <f t="shared" si="0"/>
        <v>37-27</v>
      </c>
    </row>
    <row r="61" spans="1:27" x14ac:dyDescent="0.25">
      <c r="A61" s="4">
        <v>5</v>
      </c>
      <c r="B61" t="s">
        <v>27</v>
      </c>
      <c r="C61" s="5">
        <v>45962</v>
      </c>
      <c r="D61" s="6">
        <v>0.79166666666666696</v>
      </c>
      <c r="E61" t="s">
        <v>67</v>
      </c>
      <c r="F61" s="12">
        <v>3</v>
      </c>
      <c r="G61">
        <v>4</v>
      </c>
      <c r="H61" t="s">
        <v>22</v>
      </c>
      <c r="I61" t="s">
        <v>61</v>
      </c>
      <c r="J61" t="s">
        <v>24</v>
      </c>
      <c r="K61" t="s">
        <v>29</v>
      </c>
      <c r="L61" t="s">
        <v>32</v>
      </c>
      <c r="M61" t="s">
        <v>52</v>
      </c>
      <c r="N61" t="s">
        <v>43</v>
      </c>
      <c r="P61" t="s">
        <v>26</v>
      </c>
      <c r="Q61">
        <v>0</v>
      </c>
      <c r="R61">
        <v>0</v>
      </c>
      <c r="S61">
        <f t="shared" si="14"/>
        <v>27</v>
      </c>
      <c r="T61">
        <f t="shared" si="15"/>
        <v>37</v>
      </c>
      <c r="U61" s="4" t="str">
        <f t="shared" si="0"/>
        <v>37-27</v>
      </c>
    </row>
    <row r="62" spans="1:27" x14ac:dyDescent="0.25">
      <c r="A62" s="4">
        <v>5</v>
      </c>
      <c r="B62" t="s">
        <v>27</v>
      </c>
      <c r="C62" s="5">
        <v>45962</v>
      </c>
      <c r="D62" s="6">
        <v>0.79166666666666696</v>
      </c>
      <c r="E62" t="s">
        <v>67</v>
      </c>
      <c r="F62" s="12">
        <v>3</v>
      </c>
      <c r="G62">
        <v>4</v>
      </c>
      <c r="H62" t="s">
        <v>22</v>
      </c>
      <c r="I62" t="s">
        <v>61</v>
      </c>
      <c r="J62" t="s">
        <v>24</v>
      </c>
      <c r="K62" t="s">
        <v>29</v>
      </c>
      <c r="L62" t="s">
        <v>32</v>
      </c>
      <c r="M62" t="s">
        <v>80</v>
      </c>
      <c r="N62" t="s">
        <v>39</v>
      </c>
      <c r="P62" t="s">
        <v>81</v>
      </c>
      <c r="Q62">
        <v>0</v>
      </c>
      <c r="R62">
        <v>2</v>
      </c>
      <c r="S62">
        <f t="shared" si="14"/>
        <v>27</v>
      </c>
      <c r="T62">
        <f t="shared" si="15"/>
        <v>39</v>
      </c>
      <c r="U62" s="4" t="str">
        <f t="shared" si="0"/>
        <v>39-27</v>
      </c>
    </row>
    <row r="63" spans="1:27" x14ac:dyDescent="0.25">
      <c r="A63" s="4">
        <v>5</v>
      </c>
      <c r="B63" t="s">
        <v>27</v>
      </c>
      <c r="C63" s="5">
        <v>45962</v>
      </c>
      <c r="D63" s="6">
        <v>0.79166666666666696</v>
      </c>
      <c r="E63" t="s">
        <v>67</v>
      </c>
      <c r="F63" s="12">
        <v>3</v>
      </c>
      <c r="G63" s="8">
        <v>4</v>
      </c>
      <c r="H63" s="8" t="s">
        <v>22</v>
      </c>
      <c r="I63" s="8" t="s">
        <v>61</v>
      </c>
      <c r="J63" s="8" t="s">
        <v>24</v>
      </c>
      <c r="K63" s="8" t="s">
        <v>29</v>
      </c>
      <c r="L63" s="8" t="s">
        <v>32</v>
      </c>
      <c r="M63" s="8" t="s">
        <v>79</v>
      </c>
      <c r="N63" s="8" t="s">
        <v>39</v>
      </c>
      <c r="O63" s="8"/>
      <c r="P63" s="8" t="s">
        <v>26</v>
      </c>
      <c r="Q63" s="8">
        <v>0</v>
      </c>
      <c r="R63" s="8">
        <v>0</v>
      </c>
      <c r="S63" s="8">
        <f t="shared" si="14"/>
        <v>27</v>
      </c>
      <c r="T63" s="8">
        <f t="shared" si="15"/>
        <v>39</v>
      </c>
      <c r="U63" s="24" t="str">
        <f t="shared" si="0"/>
        <v>39-27</v>
      </c>
      <c r="X63">
        <v>1</v>
      </c>
    </row>
    <row r="64" spans="1:27" x14ac:dyDescent="0.25">
      <c r="A64" s="4">
        <v>5</v>
      </c>
      <c r="B64" t="s">
        <v>27</v>
      </c>
      <c r="C64" s="5">
        <v>45962</v>
      </c>
      <c r="D64" s="6">
        <v>0.79166666666666696</v>
      </c>
      <c r="E64" t="s">
        <v>67</v>
      </c>
      <c r="F64" s="12">
        <v>3</v>
      </c>
      <c r="G64">
        <v>3</v>
      </c>
      <c r="H64" t="s">
        <v>21</v>
      </c>
      <c r="I64" t="s">
        <v>61</v>
      </c>
      <c r="J64" t="s">
        <v>24</v>
      </c>
      <c r="K64" t="s">
        <v>29</v>
      </c>
      <c r="L64" t="s">
        <v>32</v>
      </c>
      <c r="M64" t="s">
        <v>55</v>
      </c>
      <c r="N64" t="s">
        <v>43</v>
      </c>
      <c r="P64" t="s">
        <v>47</v>
      </c>
      <c r="Q64">
        <v>0</v>
      </c>
      <c r="R64">
        <v>2</v>
      </c>
      <c r="S64">
        <f t="shared" si="14"/>
        <v>27</v>
      </c>
      <c r="T64">
        <f t="shared" si="15"/>
        <v>41</v>
      </c>
      <c r="U64" s="4" t="str">
        <f t="shared" si="0"/>
        <v>41-27</v>
      </c>
    </row>
    <row r="65" spans="1:27" x14ac:dyDescent="0.25">
      <c r="A65" s="4">
        <v>5</v>
      </c>
      <c r="B65" t="s">
        <v>27</v>
      </c>
      <c r="C65" s="5">
        <v>45962</v>
      </c>
      <c r="D65" s="6">
        <v>0.79166666666666696</v>
      </c>
      <c r="E65" t="s">
        <v>67</v>
      </c>
      <c r="F65" s="12">
        <v>3</v>
      </c>
      <c r="G65">
        <v>3</v>
      </c>
      <c r="H65" t="s">
        <v>21</v>
      </c>
      <c r="I65" t="s">
        <v>61</v>
      </c>
      <c r="J65" t="s">
        <v>23</v>
      </c>
      <c r="K65" t="s">
        <v>24</v>
      </c>
      <c r="L65" t="s">
        <v>25</v>
      </c>
      <c r="M65" t="s">
        <v>41</v>
      </c>
      <c r="N65" t="s">
        <v>39</v>
      </c>
      <c r="P65" t="s">
        <v>81</v>
      </c>
      <c r="Q65">
        <v>0</v>
      </c>
      <c r="R65">
        <v>0</v>
      </c>
      <c r="S65">
        <f t="shared" si="14"/>
        <v>27</v>
      </c>
      <c r="T65">
        <f t="shared" si="15"/>
        <v>41</v>
      </c>
      <c r="U65" s="4" t="str">
        <f t="shared" si="0"/>
        <v>41-27</v>
      </c>
      <c r="V65">
        <v>1</v>
      </c>
      <c r="Z65">
        <v>2</v>
      </c>
    </row>
    <row r="66" spans="1:27" x14ac:dyDescent="0.25">
      <c r="A66" s="4">
        <v>5</v>
      </c>
      <c r="B66" t="s">
        <v>27</v>
      </c>
      <c r="C66" s="5">
        <v>45962</v>
      </c>
      <c r="D66" s="6">
        <v>0.79166666666666696</v>
      </c>
      <c r="E66" t="s">
        <v>67</v>
      </c>
      <c r="F66" s="12">
        <v>3</v>
      </c>
      <c r="G66">
        <v>2</v>
      </c>
      <c r="H66" t="s">
        <v>21</v>
      </c>
      <c r="I66" t="s">
        <v>61</v>
      </c>
      <c r="J66" t="s">
        <v>23</v>
      </c>
      <c r="K66" t="s">
        <v>24</v>
      </c>
      <c r="L66" t="s">
        <v>25</v>
      </c>
      <c r="M66" t="s">
        <v>48</v>
      </c>
      <c r="N66" t="s">
        <v>40</v>
      </c>
      <c r="P66" t="s">
        <v>46</v>
      </c>
      <c r="Q66">
        <v>2</v>
      </c>
      <c r="R66">
        <v>3</v>
      </c>
      <c r="S66">
        <f t="shared" si="14"/>
        <v>29</v>
      </c>
      <c r="T66">
        <f t="shared" si="15"/>
        <v>44</v>
      </c>
      <c r="U66" s="4" t="str">
        <f t="shared" si="0"/>
        <v>44-29</v>
      </c>
    </row>
    <row r="67" spans="1:27" x14ac:dyDescent="0.25">
      <c r="A67" s="4">
        <v>5</v>
      </c>
      <c r="B67" t="s">
        <v>27</v>
      </c>
      <c r="C67" s="5">
        <v>45962</v>
      </c>
      <c r="D67" s="6">
        <v>0.79166666666666696</v>
      </c>
      <c r="E67" t="s">
        <v>67</v>
      </c>
      <c r="F67" s="12">
        <v>3</v>
      </c>
      <c r="G67">
        <v>2</v>
      </c>
      <c r="H67" t="s">
        <v>21</v>
      </c>
      <c r="I67" t="s">
        <v>61</v>
      </c>
      <c r="J67" t="s">
        <v>23</v>
      </c>
      <c r="K67" t="s">
        <v>24</v>
      </c>
      <c r="L67" t="s">
        <v>25</v>
      </c>
      <c r="M67" t="s">
        <v>45</v>
      </c>
      <c r="N67" t="s">
        <v>43</v>
      </c>
      <c r="P67" t="s">
        <v>46</v>
      </c>
      <c r="Q67">
        <v>0</v>
      </c>
      <c r="R67">
        <v>2</v>
      </c>
      <c r="S67">
        <f t="shared" si="14"/>
        <v>29</v>
      </c>
      <c r="T67">
        <f t="shared" si="15"/>
        <v>46</v>
      </c>
      <c r="U67" s="4" t="str">
        <f t="shared" si="0"/>
        <v>46-29</v>
      </c>
    </row>
    <row r="68" spans="1:27" x14ac:dyDescent="0.25">
      <c r="A68" s="4">
        <v>5</v>
      </c>
      <c r="B68" t="s">
        <v>27</v>
      </c>
      <c r="C68" s="5">
        <v>45962</v>
      </c>
      <c r="D68" s="6">
        <v>0.79166666666666696</v>
      </c>
      <c r="E68" t="s">
        <v>67</v>
      </c>
      <c r="F68" s="12">
        <v>3</v>
      </c>
      <c r="G68">
        <v>1</v>
      </c>
      <c r="H68" t="s">
        <v>21</v>
      </c>
      <c r="I68" t="s">
        <v>23</v>
      </c>
      <c r="J68" t="s">
        <v>68</v>
      </c>
      <c r="K68" t="s">
        <v>24</v>
      </c>
      <c r="L68" t="s">
        <v>25</v>
      </c>
      <c r="M68" s="23" t="s">
        <v>70</v>
      </c>
      <c r="N68" t="s">
        <v>56</v>
      </c>
      <c r="P68" t="s">
        <v>46</v>
      </c>
      <c r="Q68">
        <v>1</v>
      </c>
      <c r="R68">
        <v>0</v>
      </c>
      <c r="S68">
        <f t="shared" si="14"/>
        <v>30</v>
      </c>
      <c r="T68">
        <f t="shared" si="15"/>
        <v>46</v>
      </c>
      <c r="U68" s="4" t="str">
        <f t="shared" ref="U68:U71" si="16">T68&amp;"-"&amp;S68</f>
        <v>46-30</v>
      </c>
    </row>
    <row r="69" spans="1:27" x14ac:dyDescent="0.25">
      <c r="A69" s="4">
        <v>5</v>
      </c>
      <c r="B69" t="s">
        <v>27</v>
      </c>
      <c r="C69" s="5">
        <v>45962</v>
      </c>
      <c r="D69" s="6">
        <v>0.79166666666666696</v>
      </c>
      <c r="E69" t="s">
        <v>67</v>
      </c>
      <c r="F69" s="12">
        <v>3</v>
      </c>
      <c r="G69">
        <v>1</v>
      </c>
      <c r="H69" t="s">
        <v>21</v>
      </c>
      <c r="I69" t="s">
        <v>23</v>
      </c>
      <c r="J69" t="s">
        <v>68</v>
      </c>
      <c r="K69" t="s">
        <v>24</v>
      </c>
      <c r="L69" t="s">
        <v>25</v>
      </c>
      <c r="M69" t="s">
        <v>52</v>
      </c>
      <c r="N69" t="s">
        <v>56</v>
      </c>
      <c r="P69" t="s">
        <v>49</v>
      </c>
      <c r="Q69">
        <v>1</v>
      </c>
      <c r="R69">
        <v>0</v>
      </c>
      <c r="S69">
        <f t="shared" si="14"/>
        <v>31</v>
      </c>
      <c r="T69">
        <f t="shared" si="15"/>
        <v>46</v>
      </c>
      <c r="U69" s="4" t="str">
        <f t="shared" si="16"/>
        <v>46-31</v>
      </c>
    </row>
    <row r="70" spans="1:27" x14ac:dyDescent="0.25">
      <c r="A70" s="4">
        <v>5</v>
      </c>
      <c r="B70" t="s">
        <v>27</v>
      </c>
      <c r="C70" s="5">
        <v>45962</v>
      </c>
      <c r="D70" s="6">
        <v>0.79166666666666696</v>
      </c>
      <c r="E70" t="s">
        <v>67</v>
      </c>
      <c r="F70" s="12">
        <v>3</v>
      </c>
      <c r="G70">
        <v>0</v>
      </c>
      <c r="H70" t="s">
        <v>21</v>
      </c>
      <c r="I70" t="s">
        <v>23</v>
      </c>
      <c r="J70" t="s">
        <v>68</v>
      </c>
      <c r="K70" t="s">
        <v>24</v>
      </c>
      <c r="L70" t="s">
        <v>25</v>
      </c>
      <c r="M70" t="s">
        <v>70</v>
      </c>
      <c r="N70" t="s">
        <v>31</v>
      </c>
      <c r="P70" t="s">
        <v>69</v>
      </c>
      <c r="Q70">
        <v>0</v>
      </c>
      <c r="R70">
        <v>0</v>
      </c>
      <c r="S70">
        <f t="shared" ref="S70:S71" si="17">Q70+S69</f>
        <v>31</v>
      </c>
      <c r="T70">
        <f t="shared" ref="T70:T71" si="18">T69+R70</f>
        <v>46</v>
      </c>
      <c r="U70" s="4" t="str">
        <f t="shared" si="16"/>
        <v>46-31</v>
      </c>
      <c r="V70">
        <v>1</v>
      </c>
    </row>
    <row r="71" spans="1:27" x14ac:dyDescent="0.25">
      <c r="A71" s="4">
        <v>5</v>
      </c>
      <c r="B71" t="s">
        <v>27</v>
      </c>
      <c r="C71" s="5">
        <v>45962</v>
      </c>
      <c r="D71" s="6">
        <v>0.79166666666666696</v>
      </c>
      <c r="E71" t="s">
        <v>67</v>
      </c>
      <c r="F71" s="12">
        <v>3</v>
      </c>
      <c r="G71" s="12">
        <v>0</v>
      </c>
      <c r="H71" s="12" t="s">
        <v>21</v>
      </c>
      <c r="I71" s="12" t="s">
        <v>23</v>
      </c>
      <c r="J71" s="12" t="s">
        <v>68</v>
      </c>
      <c r="K71" s="12" t="s">
        <v>24</v>
      </c>
      <c r="L71" s="12" t="s">
        <v>25</v>
      </c>
      <c r="M71" s="12" t="s">
        <v>82</v>
      </c>
      <c r="N71" s="12" t="s">
        <v>39</v>
      </c>
      <c r="O71" s="12"/>
      <c r="P71" s="12" t="s">
        <v>69</v>
      </c>
      <c r="Q71" s="12">
        <v>0</v>
      </c>
      <c r="R71" s="12">
        <v>2</v>
      </c>
      <c r="S71" s="12">
        <f t="shared" si="17"/>
        <v>31</v>
      </c>
      <c r="T71" s="12">
        <f t="shared" si="18"/>
        <v>48</v>
      </c>
      <c r="U71" s="4" t="str">
        <f t="shared" si="16"/>
        <v>48-31</v>
      </c>
      <c r="X71">
        <v>1</v>
      </c>
      <c r="AA71">
        <v>2</v>
      </c>
    </row>
    <row r="72" spans="1:27" x14ac:dyDescent="0.25">
      <c r="A72" s="4">
        <v>5</v>
      </c>
      <c r="B72" t="s">
        <v>27</v>
      </c>
      <c r="C72" s="5">
        <v>45962</v>
      </c>
      <c r="D72" s="6">
        <v>0.79166666666666696</v>
      </c>
      <c r="E72" t="s">
        <v>67</v>
      </c>
      <c r="F72" s="13">
        <v>4</v>
      </c>
      <c r="G72">
        <v>9</v>
      </c>
      <c r="H72" t="s">
        <v>21</v>
      </c>
      <c r="I72" t="s">
        <v>23</v>
      </c>
      <c r="J72" t="s">
        <v>68</v>
      </c>
      <c r="K72" t="s">
        <v>24</v>
      </c>
      <c r="L72" t="s">
        <v>25</v>
      </c>
      <c r="M72" t="s">
        <v>73</v>
      </c>
      <c r="N72" t="s">
        <v>31</v>
      </c>
      <c r="P72" t="s">
        <v>69</v>
      </c>
      <c r="Q72">
        <v>0</v>
      </c>
      <c r="R72">
        <v>0</v>
      </c>
      <c r="S72">
        <f t="shared" ref="S72:S95" si="19">Q72+S71</f>
        <v>31</v>
      </c>
      <c r="T72">
        <f t="shared" ref="T72:T95" si="20">T71+R72</f>
        <v>48</v>
      </c>
      <c r="U72" t="str">
        <f t="shared" ref="U72:U95" si="21">T72&amp;"-"&amp;S72</f>
        <v>48-31</v>
      </c>
    </row>
    <row r="73" spans="1:27" x14ac:dyDescent="0.25">
      <c r="A73" s="4">
        <v>5</v>
      </c>
      <c r="B73" t="s">
        <v>27</v>
      </c>
      <c r="C73" s="5">
        <v>45962</v>
      </c>
      <c r="D73" s="6">
        <v>0.79166666666666696</v>
      </c>
      <c r="E73" t="s">
        <v>67</v>
      </c>
      <c r="F73" s="13">
        <v>4</v>
      </c>
      <c r="G73">
        <v>9</v>
      </c>
      <c r="H73" t="s">
        <v>21</v>
      </c>
      <c r="I73" t="s">
        <v>23</v>
      </c>
      <c r="J73" t="s">
        <v>68</v>
      </c>
      <c r="K73" t="s">
        <v>24</v>
      </c>
      <c r="L73" t="s">
        <v>25</v>
      </c>
      <c r="M73" t="s">
        <v>45</v>
      </c>
      <c r="N73" t="s">
        <v>39</v>
      </c>
      <c r="P73" t="s">
        <v>46</v>
      </c>
      <c r="Q73">
        <v>0</v>
      </c>
      <c r="R73">
        <v>3</v>
      </c>
      <c r="S73">
        <f t="shared" si="19"/>
        <v>31</v>
      </c>
      <c r="T73">
        <f t="shared" si="20"/>
        <v>51</v>
      </c>
      <c r="U73" t="str">
        <f t="shared" si="21"/>
        <v>51-31</v>
      </c>
    </row>
    <row r="74" spans="1:27" x14ac:dyDescent="0.25">
      <c r="A74" s="4">
        <v>5</v>
      </c>
      <c r="B74" t="s">
        <v>27</v>
      </c>
      <c r="C74" s="5">
        <v>45962</v>
      </c>
      <c r="D74" s="6">
        <v>0.79166666666666696</v>
      </c>
      <c r="E74" t="s">
        <v>67</v>
      </c>
      <c r="F74" s="13">
        <v>4</v>
      </c>
      <c r="G74">
        <v>8</v>
      </c>
      <c r="H74" t="s">
        <v>21</v>
      </c>
      <c r="I74" t="s">
        <v>23</v>
      </c>
      <c r="J74" t="s">
        <v>68</v>
      </c>
      <c r="K74" t="s">
        <v>24</v>
      </c>
      <c r="L74" t="s">
        <v>25</v>
      </c>
      <c r="M74" t="s">
        <v>41</v>
      </c>
      <c r="N74" t="s">
        <v>50</v>
      </c>
      <c r="P74" t="s">
        <v>69</v>
      </c>
      <c r="Q74">
        <v>0</v>
      </c>
      <c r="R74">
        <v>0</v>
      </c>
      <c r="S74">
        <f t="shared" si="19"/>
        <v>31</v>
      </c>
      <c r="T74">
        <f t="shared" si="20"/>
        <v>51</v>
      </c>
      <c r="U74" t="str">
        <f t="shared" si="21"/>
        <v>51-31</v>
      </c>
    </row>
    <row r="75" spans="1:27" x14ac:dyDescent="0.25">
      <c r="A75" s="4">
        <v>5</v>
      </c>
      <c r="B75" t="s">
        <v>27</v>
      </c>
      <c r="C75" s="5">
        <v>45962</v>
      </c>
      <c r="D75" s="6">
        <v>0.79166666666666696</v>
      </c>
      <c r="E75" t="s">
        <v>67</v>
      </c>
      <c r="F75" s="14">
        <v>4</v>
      </c>
      <c r="G75" s="9">
        <v>8</v>
      </c>
      <c r="H75" s="9" t="s">
        <v>21</v>
      </c>
      <c r="I75" s="9" t="s">
        <v>22</v>
      </c>
      <c r="J75" s="9" t="s">
        <v>68</v>
      </c>
      <c r="K75" s="9" t="s">
        <v>24</v>
      </c>
      <c r="L75" s="9" t="s">
        <v>25</v>
      </c>
      <c r="M75" s="9" t="s">
        <v>83</v>
      </c>
      <c r="N75" s="9" t="s">
        <v>31</v>
      </c>
      <c r="O75" s="9"/>
      <c r="P75" s="9" t="s">
        <v>58</v>
      </c>
      <c r="Q75" s="9">
        <v>0</v>
      </c>
      <c r="R75" s="9">
        <v>2</v>
      </c>
      <c r="S75" s="9">
        <f t="shared" si="19"/>
        <v>31</v>
      </c>
      <c r="T75" s="9">
        <f t="shared" si="20"/>
        <v>53</v>
      </c>
      <c r="U75" s="9" t="str">
        <f t="shared" si="21"/>
        <v>53-31</v>
      </c>
    </row>
    <row r="76" spans="1:27" x14ac:dyDescent="0.25">
      <c r="A76" s="4">
        <v>5</v>
      </c>
      <c r="B76" t="s">
        <v>27</v>
      </c>
      <c r="C76" s="5">
        <v>45962</v>
      </c>
      <c r="D76" s="6">
        <v>0.79166666666666696</v>
      </c>
      <c r="E76" t="s">
        <v>67</v>
      </c>
      <c r="F76" s="13">
        <v>4</v>
      </c>
      <c r="G76">
        <v>7</v>
      </c>
      <c r="H76" t="s">
        <v>21</v>
      </c>
      <c r="I76" t="s">
        <v>28</v>
      </c>
      <c r="J76" t="s">
        <v>22</v>
      </c>
      <c r="K76" t="s">
        <v>24</v>
      </c>
      <c r="L76" t="s">
        <v>32</v>
      </c>
      <c r="M76" t="s">
        <v>30</v>
      </c>
      <c r="N76" t="s">
        <v>43</v>
      </c>
      <c r="P76" t="s">
        <v>53</v>
      </c>
      <c r="Q76">
        <v>0</v>
      </c>
      <c r="R76">
        <v>0</v>
      </c>
      <c r="S76">
        <f t="shared" si="19"/>
        <v>31</v>
      </c>
      <c r="T76">
        <f t="shared" si="20"/>
        <v>53</v>
      </c>
      <c r="U76" t="str">
        <f t="shared" si="21"/>
        <v>53-31</v>
      </c>
    </row>
    <row r="77" spans="1:27" x14ac:dyDescent="0.25">
      <c r="A77" s="4">
        <v>5</v>
      </c>
      <c r="B77" t="s">
        <v>27</v>
      </c>
      <c r="C77" s="5">
        <v>45962</v>
      </c>
      <c r="D77" s="6">
        <v>0.79166666666666696</v>
      </c>
      <c r="E77" t="s">
        <v>67</v>
      </c>
      <c r="F77" s="13">
        <v>4</v>
      </c>
      <c r="G77">
        <v>7</v>
      </c>
      <c r="H77" t="s">
        <v>21</v>
      </c>
      <c r="I77" t="s">
        <v>28</v>
      </c>
      <c r="J77" t="s">
        <v>22</v>
      </c>
      <c r="K77" t="s">
        <v>24</v>
      </c>
      <c r="L77" t="s">
        <v>32</v>
      </c>
      <c r="M77" t="s">
        <v>52</v>
      </c>
      <c r="N77" t="s">
        <v>40</v>
      </c>
      <c r="P77" t="s">
        <v>53</v>
      </c>
      <c r="Q77">
        <v>2</v>
      </c>
      <c r="R77">
        <v>0</v>
      </c>
      <c r="S77">
        <f t="shared" si="19"/>
        <v>33</v>
      </c>
      <c r="T77">
        <f t="shared" si="20"/>
        <v>53</v>
      </c>
      <c r="U77" t="str">
        <f t="shared" si="21"/>
        <v>53-33</v>
      </c>
    </row>
    <row r="78" spans="1:27" x14ac:dyDescent="0.25">
      <c r="A78" s="4">
        <v>5</v>
      </c>
      <c r="B78" t="s">
        <v>27</v>
      </c>
      <c r="C78" s="5">
        <v>45962</v>
      </c>
      <c r="D78" s="6">
        <v>0.79166666666666696</v>
      </c>
      <c r="E78" t="s">
        <v>67</v>
      </c>
      <c r="F78" s="13">
        <v>4</v>
      </c>
      <c r="G78">
        <v>6</v>
      </c>
      <c r="H78" t="s">
        <v>21</v>
      </c>
      <c r="I78" t="s">
        <v>28</v>
      </c>
      <c r="J78" t="s">
        <v>22</v>
      </c>
      <c r="K78" t="s">
        <v>24</v>
      </c>
      <c r="L78" t="s">
        <v>32</v>
      </c>
      <c r="M78" t="s">
        <v>45</v>
      </c>
      <c r="N78" t="s">
        <v>74</v>
      </c>
      <c r="P78" t="s">
        <v>59</v>
      </c>
      <c r="Q78">
        <v>0</v>
      </c>
      <c r="R78">
        <v>0</v>
      </c>
      <c r="S78">
        <f t="shared" si="19"/>
        <v>33</v>
      </c>
      <c r="T78">
        <f t="shared" si="20"/>
        <v>53</v>
      </c>
      <c r="U78" t="str">
        <f t="shared" si="21"/>
        <v>53-33</v>
      </c>
    </row>
    <row r="79" spans="1:27" x14ac:dyDescent="0.25">
      <c r="A79" s="4">
        <v>5</v>
      </c>
      <c r="B79" t="s">
        <v>27</v>
      </c>
      <c r="C79" s="5">
        <v>45962</v>
      </c>
      <c r="D79" s="6">
        <v>0.79166666666666696</v>
      </c>
      <c r="E79" t="s">
        <v>67</v>
      </c>
      <c r="F79" s="13">
        <v>4</v>
      </c>
      <c r="G79">
        <v>6</v>
      </c>
      <c r="H79" t="s">
        <v>21</v>
      </c>
      <c r="I79" t="s">
        <v>28</v>
      </c>
      <c r="J79" t="s">
        <v>22</v>
      </c>
      <c r="K79" t="s">
        <v>24</v>
      </c>
      <c r="L79" t="s">
        <v>32</v>
      </c>
      <c r="M79" t="s">
        <v>76</v>
      </c>
      <c r="N79" t="s">
        <v>43</v>
      </c>
      <c r="P79" t="s">
        <v>26</v>
      </c>
      <c r="Q79">
        <v>0</v>
      </c>
      <c r="R79">
        <v>0</v>
      </c>
      <c r="S79">
        <f t="shared" si="19"/>
        <v>33</v>
      </c>
      <c r="T79">
        <f t="shared" si="20"/>
        <v>53</v>
      </c>
      <c r="U79" t="str">
        <f t="shared" si="21"/>
        <v>53-33</v>
      </c>
    </row>
    <row r="80" spans="1:27" x14ac:dyDescent="0.25">
      <c r="A80" s="4">
        <v>5</v>
      </c>
      <c r="B80" t="s">
        <v>27</v>
      </c>
      <c r="C80" s="5">
        <v>45962</v>
      </c>
      <c r="D80" s="6">
        <v>0.79166666666666696</v>
      </c>
      <c r="E80" t="s">
        <v>67</v>
      </c>
      <c r="F80" s="13">
        <v>4</v>
      </c>
      <c r="G80">
        <v>5</v>
      </c>
      <c r="H80" t="s">
        <v>21</v>
      </c>
      <c r="I80" t="s">
        <v>28</v>
      </c>
      <c r="J80" t="s">
        <v>22</v>
      </c>
      <c r="K80" t="s">
        <v>24</v>
      </c>
      <c r="L80" t="s">
        <v>32</v>
      </c>
      <c r="M80" t="s">
        <v>45</v>
      </c>
      <c r="N80" t="s">
        <v>74</v>
      </c>
      <c r="P80" t="s">
        <v>59</v>
      </c>
      <c r="Q80">
        <v>0</v>
      </c>
      <c r="R80">
        <v>0</v>
      </c>
      <c r="S80">
        <f t="shared" si="19"/>
        <v>33</v>
      </c>
      <c r="T80">
        <f t="shared" si="20"/>
        <v>53</v>
      </c>
      <c r="U80" t="str">
        <f t="shared" si="21"/>
        <v>53-33</v>
      </c>
    </row>
    <row r="81" spans="1:24" x14ac:dyDescent="0.25">
      <c r="A81" s="4">
        <v>5</v>
      </c>
      <c r="B81" t="s">
        <v>27</v>
      </c>
      <c r="C81" s="5">
        <v>45962</v>
      </c>
      <c r="D81" s="6">
        <v>0.79166666666666696</v>
      </c>
      <c r="E81" t="s">
        <v>67</v>
      </c>
      <c r="F81" s="13">
        <v>4</v>
      </c>
      <c r="G81">
        <v>5</v>
      </c>
      <c r="H81" t="s">
        <v>21</v>
      </c>
      <c r="I81" t="s">
        <v>28</v>
      </c>
      <c r="J81" t="s">
        <v>22</v>
      </c>
      <c r="K81" t="s">
        <v>24</v>
      </c>
      <c r="L81" t="s">
        <v>32</v>
      </c>
      <c r="M81" t="s">
        <v>76</v>
      </c>
      <c r="N81" t="s">
        <v>37</v>
      </c>
      <c r="P81" t="s">
        <v>49</v>
      </c>
      <c r="Q81">
        <v>3</v>
      </c>
      <c r="R81">
        <v>0</v>
      </c>
      <c r="S81">
        <f t="shared" si="19"/>
        <v>36</v>
      </c>
      <c r="T81">
        <f t="shared" si="20"/>
        <v>53</v>
      </c>
      <c r="U81" t="str">
        <f t="shared" si="21"/>
        <v>53-36</v>
      </c>
    </row>
    <row r="82" spans="1:24" x14ac:dyDescent="0.25">
      <c r="A82" s="4">
        <v>5</v>
      </c>
      <c r="B82" t="s">
        <v>27</v>
      </c>
      <c r="C82" s="5">
        <v>45962</v>
      </c>
      <c r="D82" s="6">
        <v>0.79166666666666696</v>
      </c>
      <c r="E82" t="s">
        <v>67</v>
      </c>
      <c r="F82" s="13">
        <v>4</v>
      </c>
      <c r="G82">
        <v>5</v>
      </c>
      <c r="H82" t="s">
        <v>21</v>
      </c>
      <c r="I82" t="s">
        <v>28</v>
      </c>
      <c r="J82" t="s">
        <v>22</v>
      </c>
      <c r="K82" t="s">
        <v>24</v>
      </c>
      <c r="L82" t="s">
        <v>32</v>
      </c>
      <c r="M82" t="s">
        <v>52</v>
      </c>
      <c r="N82" t="s">
        <v>39</v>
      </c>
      <c r="P82" t="s">
        <v>57</v>
      </c>
      <c r="Q82">
        <v>0</v>
      </c>
      <c r="R82">
        <v>3</v>
      </c>
      <c r="S82">
        <f t="shared" si="19"/>
        <v>36</v>
      </c>
      <c r="T82">
        <f t="shared" si="20"/>
        <v>56</v>
      </c>
      <c r="U82" t="str">
        <f t="shared" si="21"/>
        <v>56-36</v>
      </c>
    </row>
    <row r="83" spans="1:24" x14ac:dyDescent="0.25">
      <c r="A83" s="4">
        <v>5</v>
      </c>
      <c r="B83" t="s">
        <v>27</v>
      </c>
      <c r="C83" s="5">
        <v>45962</v>
      </c>
      <c r="D83" s="6">
        <v>0.79166666666666696</v>
      </c>
      <c r="E83" t="s">
        <v>67</v>
      </c>
      <c r="F83" s="13">
        <v>4</v>
      </c>
      <c r="G83">
        <v>4</v>
      </c>
      <c r="H83" t="s">
        <v>21</v>
      </c>
      <c r="I83" t="s">
        <v>28</v>
      </c>
      <c r="J83" t="s">
        <v>22</v>
      </c>
      <c r="K83" t="s">
        <v>24</v>
      </c>
      <c r="L83" t="s">
        <v>32</v>
      </c>
      <c r="M83" t="s">
        <v>45</v>
      </c>
      <c r="N83" t="s">
        <v>31</v>
      </c>
      <c r="P83" t="s">
        <v>57</v>
      </c>
      <c r="Q83">
        <v>0</v>
      </c>
      <c r="R83">
        <v>0</v>
      </c>
      <c r="S83">
        <f t="shared" si="19"/>
        <v>36</v>
      </c>
      <c r="T83">
        <f t="shared" si="20"/>
        <v>56</v>
      </c>
      <c r="U83" t="str">
        <f t="shared" si="21"/>
        <v>56-36</v>
      </c>
      <c r="X83">
        <v>1</v>
      </c>
    </row>
    <row r="84" spans="1:24" x14ac:dyDescent="0.25">
      <c r="A84" s="4">
        <v>5</v>
      </c>
      <c r="B84" t="s">
        <v>27</v>
      </c>
      <c r="C84" s="5">
        <v>45962</v>
      </c>
      <c r="D84" s="6">
        <v>0.79166666666666696</v>
      </c>
      <c r="E84" t="s">
        <v>67</v>
      </c>
      <c r="F84" s="13">
        <v>4</v>
      </c>
      <c r="G84">
        <v>3</v>
      </c>
      <c r="H84" t="s">
        <v>21</v>
      </c>
      <c r="I84" t="s">
        <v>28</v>
      </c>
      <c r="J84" t="s">
        <v>22</v>
      </c>
      <c r="K84" t="s">
        <v>24</v>
      </c>
      <c r="L84" t="s">
        <v>32</v>
      </c>
      <c r="M84" t="s">
        <v>52</v>
      </c>
      <c r="N84" t="s">
        <v>39</v>
      </c>
      <c r="P84" t="s">
        <v>57</v>
      </c>
      <c r="Q84">
        <v>0</v>
      </c>
      <c r="R84">
        <v>0</v>
      </c>
      <c r="S84">
        <f t="shared" si="19"/>
        <v>36</v>
      </c>
      <c r="T84">
        <f t="shared" si="20"/>
        <v>56</v>
      </c>
      <c r="U84" t="str">
        <f t="shared" si="21"/>
        <v>56-36</v>
      </c>
    </row>
    <row r="85" spans="1:24" x14ac:dyDescent="0.25">
      <c r="A85" s="4">
        <v>5</v>
      </c>
      <c r="B85" t="s">
        <v>27</v>
      </c>
      <c r="C85" s="5">
        <v>45962</v>
      </c>
      <c r="D85" s="6">
        <v>0.79166666666666696</v>
      </c>
      <c r="E85" t="s">
        <v>67</v>
      </c>
      <c r="F85" s="13">
        <v>4</v>
      </c>
      <c r="G85">
        <v>3</v>
      </c>
      <c r="H85" t="s">
        <v>21</v>
      </c>
      <c r="I85" t="s">
        <v>28</v>
      </c>
      <c r="J85" t="s">
        <v>22</v>
      </c>
      <c r="K85" t="s">
        <v>29</v>
      </c>
      <c r="L85" t="s">
        <v>32</v>
      </c>
      <c r="M85" t="s">
        <v>30</v>
      </c>
      <c r="N85" t="s">
        <v>39</v>
      </c>
      <c r="P85" t="s">
        <v>53</v>
      </c>
      <c r="Q85">
        <v>0</v>
      </c>
      <c r="R85">
        <v>3</v>
      </c>
      <c r="S85">
        <f t="shared" si="19"/>
        <v>36</v>
      </c>
      <c r="T85">
        <f t="shared" si="20"/>
        <v>59</v>
      </c>
      <c r="U85" t="str">
        <f t="shared" si="21"/>
        <v>59-36</v>
      </c>
    </row>
    <row r="86" spans="1:24" x14ac:dyDescent="0.25">
      <c r="A86" s="4">
        <v>5</v>
      </c>
      <c r="B86" t="s">
        <v>27</v>
      </c>
      <c r="C86" s="5">
        <v>45962</v>
      </c>
      <c r="D86" s="6">
        <v>0.79166666666666696</v>
      </c>
      <c r="E86" t="s">
        <v>67</v>
      </c>
      <c r="F86" s="13">
        <v>4</v>
      </c>
      <c r="G86">
        <v>2</v>
      </c>
      <c r="H86" t="s">
        <v>21</v>
      </c>
      <c r="I86" t="s">
        <v>28</v>
      </c>
      <c r="J86" t="s">
        <v>22</v>
      </c>
      <c r="K86" t="s">
        <v>29</v>
      </c>
      <c r="L86" t="s">
        <v>32</v>
      </c>
      <c r="M86" t="s">
        <v>52</v>
      </c>
      <c r="N86" t="s">
        <v>37</v>
      </c>
      <c r="O86" t="s">
        <v>49</v>
      </c>
      <c r="P86" t="s">
        <v>57</v>
      </c>
      <c r="Q86">
        <v>3</v>
      </c>
      <c r="R86">
        <v>1</v>
      </c>
      <c r="S86">
        <f t="shared" si="19"/>
        <v>39</v>
      </c>
      <c r="T86">
        <f t="shared" si="20"/>
        <v>60</v>
      </c>
      <c r="U86" t="str">
        <f t="shared" si="21"/>
        <v>60-39</v>
      </c>
    </row>
    <row r="87" spans="1:24" x14ac:dyDescent="0.25">
      <c r="A87" s="4">
        <v>5</v>
      </c>
      <c r="B87" t="s">
        <v>27</v>
      </c>
      <c r="C87" s="5">
        <v>45962</v>
      </c>
      <c r="D87" s="6">
        <v>0.79166666666666696</v>
      </c>
      <c r="E87" t="s">
        <v>67</v>
      </c>
      <c r="F87" s="13">
        <v>4</v>
      </c>
      <c r="G87">
        <v>2</v>
      </c>
      <c r="H87" t="s">
        <v>21</v>
      </c>
      <c r="I87" t="s">
        <v>28</v>
      </c>
      <c r="J87" t="s">
        <v>22</v>
      </c>
      <c r="K87" t="s">
        <v>29</v>
      </c>
      <c r="L87" t="s">
        <v>32</v>
      </c>
      <c r="M87" t="s">
        <v>45</v>
      </c>
      <c r="N87" t="s">
        <v>39</v>
      </c>
      <c r="P87" t="s">
        <v>51</v>
      </c>
      <c r="Q87">
        <v>0</v>
      </c>
      <c r="R87">
        <v>0</v>
      </c>
      <c r="S87">
        <f t="shared" si="19"/>
        <v>39</v>
      </c>
      <c r="T87">
        <f t="shared" si="20"/>
        <v>60</v>
      </c>
      <c r="U87" t="str">
        <f t="shared" si="21"/>
        <v>60-39</v>
      </c>
    </row>
    <row r="88" spans="1:24" x14ac:dyDescent="0.25">
      <c r="A88" s="4">
        <v>5</v>
      </c>
      <c r="B88" t="s">
        <v>27</v>
      </c>
      <c r="C88" s="5">
        <v>45962</v>
      </c>
      <c r="D88" s="6">
        <v>0.79166666666666696</v>
      </c>
      <c r="E88" t="s">
        <v>67</v>
      </c>
      <c r="F88" s="13">
        <v>4</v>
      </c>
      <c r="G88">
        <v>2</v>
      </c>
      <c r="H88" t="s">
        <v>21</v>
      </c>
      <c r="I88" t="s">
        <v>28</v>
      </c>
      <c r="J88" t="s">
        <v>22</v>
      </c>
      <c r="K88" t="s">
        <v>29</v>
      </c>
      <c r="L88" t="s">
        <v>32</v>
      </c>
      <c r="M88" t="s">
        <v>48</v>
      </c>
      <c r="N88" t="s">
        <v>50</v>
      </c>
      <c r="P88" t="s">
        <v>53</v>
      </c>
      <c r="Q88">
        <v>0</v>
      </c>
      <c r="R88">
        <v>0</v>
      </c>
      <c r="S88">
        <f t="shared" si="19"/>
        <v>39</v>
      </c>
      <c r="T88">
        <f t="shared" si="20"/>
        <v>60</v>
      </c>
      <c r="U88" t="str">
        <f t="shared" si="21"/>
        <v>60-39</v>
      </c>
      <c r="V88">
        <v>1</v>
      </c>
    </row>
    <row r="89" spans="1:24" x14ac:dyDescent="0.25">
      <c r="A89" s="4">
        <v>5</v>
      </c>
      <c r="B89" t="s">
        <v>27</v>
      </c>
      <c r="C89" s="5">
        <v>45962</v>
      </c>
      <c r="D89" s="6">
        <v>0.79166666666666696</v>
      </c>
      <c r="E89" t="s">
        <v>67</v>
      </c>
      <c r="F89" s="13">
        <v>4</v>
      </c>
      <c r="G89">
        <v>2</v>
      </c>
      <c r="H89" t="s">
        <v>21</v>
      </c>
      <c r="I89" t="s">
        <v>28</v>
      </c>
      <c r="J89" t="s">
        <v>61</v>
      </c>
      <c r="K89" t="s">
        <v>29</v>
      </c>
      <c r="L89" t="s">
        <v>32</v>
      </c>
      <c r="M89" t="s">
        <v>76</v>
      </c>
      <c r="N89" t="s">
        <v>43</v>
      </c>
      <c r="P89" t="s">
        <v>57</v>
      </c>
      <c r="Q89">
        <v>0</v>
      </c>
      <c r="R89">
        <v>2</v>
      </c>
      <c r="S89">
        <f t="shared" si="19"/>
        <v>39</v>
      </c>
      <c r="T89">
        <f t="shared" si="20"/>
        <v>62</v>
      </c>
      <c r="U89" t="str">
        <f t="shared" si="21"/>
        <v>62-39</v>
      </c>
    </row>
    <row r="90" spans="1:24" x14ac:dyDescent="0.25">
      <c r="A90" s="4">
        <v>5</v>
      </c>
      <c r="B90" t="s">
        <v>27</v>
      </c>
      <c r="C90" s="5">
        <v>45962</v>
      </c>
      <c r="D90" s="6">
        <v>0.79166666666666696</v>
      </c>
      <c r="E90" t="s">
        <v>67</v>
      </c>
      <c r="F90" s="13">
        <v>4</v>
      </c>
      <c r="G90">
        <v>2</v>
      </c>
      <c r="H90" t="s">
        <v>21</v>
      </c>
      <c r="I90" t="s">
        <v>28</v>
      </c>
      <c r="J90" t="s">
        <v>61</v>
      </c>
      <c r="K90" t="s">
        <v>29</v>
      </c>
      <c r="L90" t="s">
        <v>32</v>
      </c>
      <c r="M90" t="s">
        <v>72</v>
      </c>
      <c r="N90" t="s">
        <v>40</v>
      </c>
      <c r="O90" t="s">
        <v>57</v>
      </c>
      <c r="P90" t="s">
        <v>51</v>
      </c>
      <c r="Q90">
        <v>2</v>
      </c>
      <c r="R90">
        <v>3</v>
      </c>
      <c r="S90">
        <f t="shared" si="19"/>
        <v>41</v>
      </c>
      <c r="T90">
        <f t="shared" si="20"/>
        <v>65</v>
      </c>
      <c r="U90" t="str">
        <f t="shared" si="21"/>
        <v>65-41</v>
      </c>
    </row>
    <row r="91" spans="1:24" x14ac:dyDescent="0.25">
      <c r="A91" s="4">
        <v>5</v>
      </c>
      <c r="B91" t="s">
        <v>27</v>
      </c>
      <c r="C91" s="5">
        <v>45962</v>
      </c>
      <c r="D91" s="6">
        <v>0.79166666666666696</v>
      </c>
      <c r="E91" t="s">
        <v>67</v>
      </c>
      <c r="F91" s="14">
        <v>4</v>
      </c>
      <c r="G91">
        <v>1</v>
      </c>
      <c r="H91" t="s">
        <v>21</v>
      </c>
      <c r="I91" t="s">
        <v>28</v>
      </c>
      <c r="J91" t="s">
        <v>61</v>
      </c>
      <c r="K91" t="s">
        <v>29</v>
      </c>
      <c r="L91" t="s">
        <v>32</v>
      </c>
      <c r="M91" t="s">
        <v>73</v>
      </c>
      <c r="N91" t="s">
        <v>39</v>
      </c>
      <c r="P91" t="s">
        <v>57</v>
      </c>
      <c r="Q91">
        <v>0</v>
      </c>
      <c r="R91">
        <v>2</v>
      </c>
      <c r="S91">
        <f t="shared" si="19"/>
        <v>41</v>
      </c>
      <c r="T91">
        <f t="shared" si="20"/>
        <v>67</v>
      </c>
      <c r="U91" t="str">
        <f t="shared" si="21"/>
        <v>67-41</v>
      </c>
    </row>
    <row r="92" spans="1:24" x14ac:dyDescent="0.25">
      <c r="A92" s="4">
        <v>5</v>
      </c>
      <c r="B92" t="s">
        <v>27</v>
      </c>
      <c r="C92" s="5">
        <v>45962</v>
      </c>
      <c r="D92" s="6">
        <v>0.79166666666666696</v>
      </c>
      <c r="E92" t="s">
        <v>67</v>
      </c>
      <c r="F92" s="13">
        <v>4</v>
      </c>
      <c r="G92">
        <v>0</v>
      </c>
      <c r="H92" t="s">
        <v>21</v>
      </c>
      <c r="I92" t="s">
        <v>28</v>
      </c>
      <c r="J92" t="s">
        <v>61</v>
      </c>
      <c r="K92" t="s">
        <v>29</v>
      </c>
      <c r="L92" t="s">
        <v>32</v>
      </c>
      <c r="M92" t="s">
        <v>45</v>
      </c>
      <c r="N92" t="s">
        <v>39</v>
      </c>
      <c r="P92" t="s">
        <v>49</v>
      </c>
      <c r="Q92">
        <v>0</v>
      </c>
      <c r="R92">
        <v>0</v>
      </c>
      <c r="S92">
        <f t="shared" si="19"/>
        <v>41</v>
      </c>
      <c r="T92">
        <f t="shared" si="20"/>
        <v>67</v>
      </c>
      <c r="U92" t="str">
        <f t="shared" si="21"/>
        <v>67-41</v>
      </c>
      <c r="V92">
        <v>1</v>
      </c>
    </row>
    <row r="93" spans="1:24" x14ac:dyDescent="0.25">
      <c r="A93" s="4">
        <v>5</v>
      </c>
      <c r="B93" t="s">
        <v>27</v>
      </c>
      <c r="C93" s="5">
        <v>45962</v>
      </c>
      <c r="D93" s="6">
        <v>0.79166666666666696</v>
      </c>
      <c r="E93" t="s">
        <v>67</v>
      </c>
      <c r="F93" s="13">
        <v>4</v>
      </c>
      <c r="G93">
        <v>0</v>
      </c>
      <c r="H93" t="s">
        <v>21</v>
      </c>
      <c r="I93" t="s">
        <v>28</v>
      </c>
      <c r="J93" t="s">
        <v>61</v>
      </c>
      <c r="K93" t="s">
        <v>29</v>
      </c>
      <c r="L93" t="s">
        <v>32</v>
      </c>
      <c r="M93" t="s">
        <v>78</v>
      </c>
      <c r="N93" t="s">
        <v>50</v>
      </c>
      <c r="P93" t="s">
        <v>59</v>
      </c>
      <c r="Q93">
        <v>0</v>
      </c>
      <c r="R93">
        <v>0</v>
      </c>
      <c r="S93">
        <f t="shared" si="19"/>
        <v>41</v>
      </c>
      <c r="T93">
        <f t="shared" si="20"/>
        <v>67</v>
      </c>
      <c r="U93" t="str">
        <f t="shared" si="21"/>
        <v>67-41</v>
      </c>
    </row>
    <row r="94" spans="1:24" x14ac:dyDescent="0.25">
      <c r="A94" s="4">
        <v>5</v>
      </c>
      <c r="B94" t="s">
        <v>27</v>
      </c>
      <c r="C94" s="5">
        <v>45962</v>
      </c>
      <c r="D94" s="6">
        <v>0.79166666666666696</v>
      </c>
      <c r="E94" t="s">
        <v>67</v>
      </c>
      <c r="F94" s="13">
        <v>4</v>
      </c>
      <c r="G94">
        <v>0</v>
      </c>
      <c r="H94" t="s">
        <v>21</v>
      </c>
      <c r="I94" t="s">
        <v>28</v>
      </c>
      <c r="J94" t="s">
        <v>61</v>
      </c>
      <c r="K94" t="s">
        <v>29</v>
      </c>
      <c r="L94" t="s">
        <v>32</v>
      </c>
      <c r="M94" t="s">
        <v>76</v>
      </c>
      <c r="N94" t="s">
        <v>43</v>
      </c>
      <c r="P94" t="s">
        <v>47</v>
      </c>
      <c r="Q94">
        <v>0</v>
      </c>
      <c r="R94">
        <v>2</v>
      </c>
      <c r="S94">
        <f t="shared" si="19"/>
        <v>41</v>
      </c>
      <c r="T94">
        <f t="shared" si="20"/>
        <v>69</v>
      </c>
      <c r="U94" t="str">
        <f t="shared" si="21"/>
        <v>69-41</v>
      </c>
    </row>
    <row r="95" spans="1:24" s="13" customFormat="1" x14ac:dyDescent="0.25">
      <c r="A95" s="25">
        <v>5</v>
      </c>
      <c r="B95" s="13" t="s">
        <v>27</v>
      </c>
      <c r="C95" s="26">
        <v>45962</v>
      </c>
      <c r="D95" s="27">
        <v>0.79166666666666696</v>
      </c>
      <c r="E95" s="13" t="s">
        <v>67</v>
      </c>
      <c r="F95" s="13">
        <v>4</v>
      </c>
      <c r="G95" s="13">
        <v>0</v>
      </c>
      <c r="H95" s="13" t="s">
        <v>21</v>
      </c>
      <c r="I95" s="13" t="s">
        <v>28</v>
      </c>
      <c r="J95" s="13" t="s">
        <v>61</v>
      </c>
      <c r="K95" s="13" t="s">
        <v>29</v>
      </c>
      <c r="L95" s="13" t="s">
        <v>32</v>
      </c>
      <c r="M95" s="13" t="s">
        <v>70</v>
      </c>
      <c r="N95" s="13" t="s">
        <v>31</v>
      </c>
      <c r="P95" s="13" t="s">
        <v>57</v>
      </c>
      <c r="Q95" s="13">
        <v>0</v>
      </c>
      <c r="R95" s="13">
        <v>0</v>
      </c>
      <c r="S95" s="13">
        <f t="shared" si="19"/>
        <v>41</v>
      </c>
      <c r="T95" s="13">
        <f t="shared" si="20"/>
        <v>69</v>
      </c>
      <c r="U95" s="13" t="str">
        <f t="shared" si="21"/>
        <v>69-41</v>
      </c>
    </row>
    <row r="96" spans="1:24" x14ac:dyDescent="0.25">
      <c r="A96" s="4"/>
      <c r="C96" s="5"/>
      <c r="D96" s="6"/>
    </row>
    <row r="97" spans="1:6" x14ac:dyDescent="0.25">
      <c r="C97" s="5"/>
      <c r="D97" s="6"/>
    </row>
    <row r="98" spans="1:6" x14ac:dyDescent="0.25">
      <c r="A98" s="4"/>
      <c r="C98" s="5"/>
      <c r="D98" s="6"/>
    </row>
    <row r="99" spans="1:6" x14ac:dyDescent="0.25">
      <c r="A99" s="4"/>
      <c r="C99" s="5"/>
      <c r="D99" s="6"/>
    </row>
    <row r="103" spans="1:6" x14ac:dyDescent="0.25">
      <c r="F103" s="4"/>
    </row>
  </sheetData>
  <autoFilter ref="A1:AB99" xr:uid="{93034ED9-F3C0-42F8-8C99-E681B16A31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6F-704A-4599-99D1-494CAE00F7DC}">
  <dimension ref="A1:N95"/>
  <sheetViews>
    <sheetView zoomScale="154" workbookViewId="0">
      <selection activeCell="J13" sqref="J13"/>
    </sheetView>
  </sheetViews>
  <sheetFormatPr baseColWidth="10" defaultRowHeight="15" x14ac:dyDescent="0.25"/>
  <cols>
    <col min="2" max="2" width="20" bestFit="1" customWidth="1"/>
    <col min="3" max="3" width="0" hidden="1" customWidth="1"/>
    <col min="5" max="5" width="0" hidden="1" customWidth="1"/>
    <col min="7" max="7" width="13.42578125" customWidth="1"/>
    <col min="10" max="10" width="15" customWidth="1"/>
    <col min="12" max="12" width="15.5703125" customWidth="1"/>
    <col min="13" max="13" width="12.85546875" customWidth="1"/>
    <col min="14" max="14" width="13.140625" customWidth="1"/>
  </cols>
  <sheetData>
    <row r="1" spans="1:14" x14ac:dyDescent="0.25">
      <c r="A1" s="2" t="s">
        <v>5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42</v>
      </c>
      <c r="G1" s="3" t="s">
        <v>38</v>
      </c>
    </row>
    <row r="2" spans="1:14" x14ac:dyDescent="0.25">
      <c r="A2" s="7">
        <v>1</v>
      </c>
      <c r="D2">
        <v>1</v>
      </c>
      <c r="E2">
        <v>1</v>
      </c>
    </row>
    <row r="3" spans="1:14" x14ac:dyDescent="0.25">
      <c r="A3" s="7">
        <v>1</v>
      </c>
    </row>
    <row r="4" spans="1:14" x14ac:dyDescent="0.25">
      <c r="A4" s="7">
        <v>1</v>
      </c>
      <c r="J4" s="15" t="s">
        <v>63</v>
      </c>
      <c r="K4" s="17" t="s">
        <v>33</v>
      </c>
      <c r="L4" s="17" t="s">
        <v>64</v>
      </c>
      <c r="M4" s="18" t="s">
        <v>35</v>
      </c>
      <c r="N4" s="18" t="s">
        <v>65</v>
      </c>
    </row>
    <row r="5" spans="1:14" x14ac:dyDescent="0.25">
      <c r="A5" s="7">
        <v>1</v>
      </c>
      <c r="J5">
        <v>1</v>
      </c>
      <c r="K5">
        <v>0</v>
      </c>
      <c r="L5">
        <v>0</v>
      </c>
      <c r="M5">
        <v>3</v>
      </c>
      <c r="N5">
        <v>1</v>
      </c>
    </row>
    <row r="6" spans="1:14" x14ac:dyDescent="0.25">
      <c r="A6" s="7">
        <v>1</v>
      </c>
      <c r="J6">
        <v>2</v>
      </c>
      <c r="K6">
        <v>5</v>
      </c>
      <c r="L6">
        <v>0</v>
      </c>
      <c r="M6">
        <v>6</v>
      </c>
      <c r="N6">
        <v>4</v>
      </c>
    </row>
    <row r="7" spans="1:14" x14ac:dyDescent="0.25">
      <c r="A7" s="7">
        <v>1</v>
      </c>
      <c r="J7">
        <v>3</v>
      </c>
      <c r="K7">
        <v>5</v>
      </c>
      <c r="L7">
        <v>4</v>
      </c>
      <c r="M7">
        <v>5</v>
      </c>
      <c r="N7">
        <v>3</v>
      </c>
    </row>
    <row r="8" spans="1:14" x14ac:dyDescent="0.25">
      <c r="A8" s="7">
        <v>1</v>
      </c>
      <c r="J8">
        <v>4</v>
      </c>
      <c r="K8">
        <v>2</v>
      </c>
      <c r="L8">
        <v>0</v>
      </c>
      <c r="M8">
        <v>1</v>
      </c>
      <c r="N8">
        <v>0</v>
      </c>
    </row>
    <row r="9" spans="1:14" x14ac:dyDescent="0.25">
      <c r="A9" s="7">
        <v>1</v>
      </c>
      <c r="J9" s="16" t="s">
        <v>66</v>
      </c>
      <c r="K9" s="15">
        <f>SUM(K5:K8)</f>
        <v>12</v>
      </c>
      <c r="L9" s="15">
        <f t="shared" ref="L9:N9" si="0">SUM(L5:L8)</f>
        <v>4</v>
      </c>
      <c r="M9" s="15">
        <f t="shared" si="0"/>
        <v>15</v>
      </c>
      <c r="N9" s="15">
        <f t="shared" si="0"/>
        <v>8</v>
      </c>
    </row>
    <row r="10" spans="1:14" x14ac:dyDescent="0.25">
      <c r="A10" s="7">
        <v>1</v>
      </c>
    </row>
    <row r="11" spans="1:14" x14ac:dyDescent="0.25">
      <c r="A11" s="7">
        <v>1</v>
      </c>
    </row>
    <row r="12" spans="1:14" x14ac:dyDescent="0.25">
      <c r="A12" s="7">
        <v>1</v>
      </c>
      <c r="D12">
        <v>1</v>
      </c>
      <c r="G12">
        <v>1</v>
      </c>
    </row>
    <row r="13" spans="1:14" x14ac:dyDescent="0.25">
      <c r="A13" s="7">
        <v>1</v>
      </c>
    </row>
    <row r="14" spans="1:14" x14ac:dyDescent="0.25">
      <c r="A14" s="7">
        <v>1</v>
      </c>
    </row>
    <row r="15" spans="1:14" x14ac:dyDescent="0.25">
      <c r="A15" s="7">
        <v>1</v>
      </c>
    </row>
    <row r="16" spans="1:14" x14ac:dyDescent="0.25">
      <c r="A16" s="7">
        <v>1</v>
      </c>
    </row>
    <row r="17" spans="1:7" x14ac:dyDescent="0.25">
      <c r="A17" s="7">
        <v>1</v>
      </c>
    </row>
    <row r="18" spans="1:7" x14ac:dyDescent="0.25">
      <c r="A18" s="7">
        <v>1</v>
      </c>
    </row>
    <row r="19" spans="1:7" x14ac:dyDescent="0.25">
      <c r="A19" s="7">
        <v>1</v>
      </c>
    </row>
    <row r="20" spans="1:7" x14ac:dyDescent="0.25">
      <c r="A20" s="7">
        <v>1</v>
      </c>
      <c r="D20">
        <v>1</v>
      </c>
    </row>
    <row r="21" spans="1:7" x14ac:dyDescent="0.25">
      <c r="A21" s="7">
        <v>1</v>
      </c>
    </row>
    <row r="22" spans="1:7" x14ac:dyDescent="0.25">
      <c r="A22" s="7">
        <v>1</v>
      </c>
    </row>
    <row r="23" spans="1:7" x14ac:dyDescent="0.25">
      <c r="A23" s="7">
        <v>1</v>
      </c>
    </row>
    <row r="24" spans="1:7" x14ac:dyDescent="0.25">
      <c r="A24" s="11">
        <v>2</v>
      </c>
    </row>
    <row r="25" spans="1:7" x14ac:dyDescent="0.25">
      <c r="A25" s="11">
        <v>2</v>
      </c>
      <c r="D25">
        <v>1</v>
      </c>
      <c r="G25">
        <v>2</v>
      </c>
    </row>
    <row r="26" spans="1:7" x14ac:dyDescent="0.25">
      <c r="A26" s="11">
        <v>2</v>
      </c>
    </row>
    <row r="27" spans="1:7" x14ac:dyDescent="0.25">
      <c r="A27" s="11">
        <v>2</v>
      </c>
      <c r="D27">
        <v>1</v>
      </c>
      <c r="G27">
        <v>2</v>
      </c>
    </row>
    <row r="28" spans="1:7" x14ac:dyDescent="0.25">
      <c r="A28" s="11">
        <v>2</v>
      </c>
    </row>
    <row r="29" spans="1:7" x14ac:dyDescent="0.25">
      <c r="A29" s="11">
        <v>2</v>
      </c>
      <c r="D29">
        <v>1</v>
      </c>
    </row>
    <row r="30" spans="1:7" x14ac:dyDescent="0.25">
      <c r="A30" s="11">
        <v>2</v>
      </c>
      <c r="B30">
        <v>1</v>
      </c>
    </row>
    <row r="31" spans="1:7" x14ac:dyDescent="0.25">
      <c r="A31" s="11">
        <v>2</v>
      </c>
    </row>
    <row r="32" spans="1:7" x14ac:dyDescent="0.25">
      <c r="A32" s="11">
        <v>2</v>
      </c>
    </row>
    <row r="33" spans="1:4" x14ac:dyDescent="0.25">
      <c r="A33" s="11">
        <v>2</v>
      </c>
    </row>
    <row r="34" spans="1:4" x14ac:dyDescent="0.25">
      <c r="A34" s="11">
        <v>2</v>
      </c>
      <c r="B34">
        <v>1</v>
      </c>
    </row>
    <row r="35" spans="1:4" x14ac:dyDescent="0.25">
      <c r="A35" s="11">
        <v>2</v>
      </c>
    </row>
    <row r="36" spans="1:4" x14ac:dyDescent="0.25">
      <c r="A36" s="11">
        <v>2</v>
      </c>
    </row>
    <row r="37" spans="1:4" x14ac:dyDescent="0.25">
      <c r="A37" s="19">
        <v>2</v>
      </c>
    </row>
    <row r="38" spans="1:4" x14ac:dyDescent="0.25">
      <c r="A38" s="11">
        <v>2</v>
      </c>
      <c r="D38">
        <v>1</v>
      </c>
    </row>
    <row r="39" spans="1:4" x14ac:dyDescent="0.25">
      <c r="A39" s="11">
        <v>2</v>
      </c>
    </row>
    <row r="40" spans="1:4" x14ac:dyDescent="0.25">
      <c r="A40" s="11">
        <v>2</v>
      </c>
      <c r="B40">
        <v>1</v>
      </c>
    </row>
    <row r="41" spans="1:4" x14ac:dyDescent="0.25">
      <c r="A41" s="11">
        <v>2</v>
      </c>
      <c r="B41">
        <v>1</v>
      </c>
    </row>
    <row r="42" spans="1:4" x14ac:dyDescent="0.25">
      <c r="A42" s="11">
        <v>2</v>
      </c>
      <c r="D42">
        <v>2</v>
      </c>
    </row>
    <row r="43" spans="1:4" x14ac:dyDescent="0.25">
      <c r="A43" s="22">
        <v>2</v>
      </c>
    </row>
    <row r="44" spans="1:4" x14ac:dyDescent="0.25">
      <c r="A44" s="11">
        <v>2</v>
      </c>
    </row>
    <row r="45" spans="1:4" x14ac:dyDescent="0.25">
      <c r="A45" s="11">
        <v>2</v>
      </c>
      <c r="B45">
        <v>1</v>
      </c>
    </row>
    <row r="46" spans="1:4" x14ac:dyDescent="0.25">
      <c r="A46" s="11">
        <v>2</v>
      </c>
    </row>
    <row r="47" spans="1:4" x14ac:dyDescent="0.25">
      <c r="A47" s="11">
        <v>2</v>
      </c>
    </row>
    <row r="48" spans="1:4" x14ac:dyDescent="0.25">
      <c r="A48" s="11"/>
    </row>
    <row r="49" spans="1:7" x14ac:dyDescent="0.25">
      <c r="A49" s="11">
        <v>2</v>
      </c>
    </row>
    <row r="50" spans="1:7" x14ac:dyDescent="0.25">
      <c r="A50" s="12">
        <v>3</v>
      </c>
    </row>
    <row r="51" spans="1:7" x14ac:dyDescent="0.25">
      <c r="A51" s="12">
        <v>3</v>
      </c>
    </row>
    <row r="52" spans="1:7" x14ac:dyDescent="0.25">
      <c r="A52" s="12">
        <v>3</v>
      </c>
    </row>
    <row r="53" spans="1:7" x14ac:dyDescent="0.25">
      <c r="A53" s="12">
        <v>3</v>
      </c>
      <c r="B53">
        <v>1</v>
      </c>
    </row>
    <row r="54" spans="1:7" x14ac:dyDescent="0.25">
      <c r="A54" s="12">
        <v>3</v>
      </c>
      <c r="B54">
        <v>1</v>
      </c>
      <c r="F54">
        <v>2</v>
      </c>
    </row>
    <row r="55" spans="1:7" x14ac:dyDescent="0.25">
      <c r="A55" s="12">
        <v>3</v>
      </c>
    </row>
    <row r="56" spans="1:7" x14ac:dyDescent="0.25">
      <c r="A56" s="12">
        <v>3</v>
      </c>
    </row>
    <row r="57" spans="1:7" x14ac:dyDescent="0.25">
      <c r="A57" s="12">
        <v>3</v>
      </c>
      <c r="B57">
        <v>1</v>
      </c>
    </row>
    <row r="58" spans="1:7" x14ac:dyDescent="0.25">
      <c r="A58" s="12">
        <v>3</v>
      </c>
      <c r="D58">
        <v>2</v>
      </c>
      <c r="G58">
        <v>1</v>
      </c>
    </row>
    <row r="59" spans="1:7" x14ac:dyDescent="0.25">
      <c r="A59" s="12">
        <v>3</v>
      </c>
    </row>
    <row r="60" spans="1:7" x14ac:dyDescent="0.25">
      <c r="A60" s="12">
        <v>3</v>
      </c>
    </row>
    <row r="61" spans="1:7" x14ac:dyDescent="0.25">
      <c r="A61" s="12">
        <v>3</v>
      </c>
    </row>
    <row r="62" spans="1:7" x14ac:dyDescent="0.25">
      <c r="A62" s="12">
        <v>3</v>
      </c>
    </row>
    <row r="63" spans="1:7" x14ac:dyDescent="0.25">
      <c r="A63" s="12">
        <v>3</v>
      </c>
      <c r="D63">
        <v>1</v>
      </c>
    </row>
    <row r="64" spans="1:7" x14ac:dyDescent="0.25">
      <c r="A64" s="12">
        <v>3</v>
      </c>
    </row>
    <row r="65" spans="1:7" x14ac:dyDescent="0.25">
      <c r="A65" s="12">
        <v>3</v>
      </c>
      <c r="B65">
        <v>1</v>
      </c>
      <c r="F65">
        <v>2</v>
      </c>
    </row>
    <row r="66" spans="1:7" x14ac:dyDescent="0.25">
      <c r="A66" s="12">
        <v>3</v>
      </c>
    </row>
    <row r="67" spans="1:7" x14ac:dyDescent="0.25">
      <c r="A67" s="12">
        <v>3</v>
      </c>
    </row>
    <row r="68" spans="1:7" x14ac:dyDescent="0.25">
      <c r="A68" s="12">
        <v>3</v>
      </c>
    </row>
    <row r="69" spans="1:7" x14ac:dyDescent="0.25">
      <c r="A69" s="12">
        <v>3</v>
      </c>
    </row>
    <row r="70" spans="1:7" x14ac:dyDescent="0.25">
      <c r="A70" s="12">
        <v>3</v>
      </c>
      <c r="B70">
        <v>1</v>
      </c>
    </row>
    <row r="71" spans="1:7" x14ac:dyDescent="0.25">
      <c r="A71" s="12">
        <v>3</v>
      </c>
      <c r="D71">
        <v>1</v>
      </c>
      <c r="G71">
        <v>2</v>
      </c>
    </row>
    <row r="72" spans="1:7" x14ac:dyDescent="0.25">
      <c r="A72" s="13">
        <v>4</v>
      </c>
    </row>
    <row r="73" spans="1:7" x14ac:dyDescent="0.25">
      <c r="A73" s="13">
        <v>4</v>
      </c>
    </row>
    <row r="74" spans="1:7" x14ac:dyDescent="0.25">
      <c r="A74" s="13">
        <v>4</v>
      </c>
    </row>
    <row r="75" spans="1:7" x14ac:dyDescent="0.25">
      <c r="A75" s="14">
        <v>4</v>
      </c>
    </row>
    <row r="76" spans="1:7" x14ac:dyDescent="0.25">
      <c r="A76" s="13">
        <v>4</v>
      </c>
    </row>
    <row r="77" spans="1:7" x14ac:dyDescent="0.25">
      <c r="A77" s="13">
        <v>4</v>
      </c>
    </row>
    <row r="78" spans="1:7" x14ac:dyDescent="0.25">
      <c r="A78" s="13">
        <v>4</v>
      </c>
    </row>
    <row r="79" spans="1:7" x14ac:dyDescent="0.25">
      <c r="A79" s="13">
        <v>4</v>
      </c>
    </row>
    <row r="80" spans="1:7" x14ac:dyDescent="0.25">
      <c r="A80" s="13">
        <v>4</v>
      </c>
    </row>
    <row r="81" spans="1:7" x14ac:dyDescent="0.25">
      <c r="A81" s="13">
        <v>4</v>
      </c>
    </row>
    <row r="82" spans="1:7" x14ac:dyDescent="0.25">
      <c r="A82" s="13">
        <v>4</v>
      </c>
    </row>
    <row r="83" spans="1:7" x14ac:dyDescent="0.25">
      <c r="A83" s="13">
        <v>4</v>
      </c>
      <c r="D83">
        <v>1</v>
      </c>
    </row>
    <row r="84" spans="1:7" x14ac:dyDescent="0.25">
      <c r="A84" s="13">
        <v>4</v>
      </c>
    </row>
    <row r="85" spans="1:7" x14ac:dyDescent="0.25">
      <c r="A85" s="13">
        <v>4</v>
      </c>
    </row>
    <row r="86" spans="1:7" x14ac:dyDescent="0.25">
      <c r="A86" s="13">
        <v>4</v>
      </c>
    </row>
    <row r="87" spans="1:7" x14ac:dyDescent="0.25">
      <c r="A87" s="13">
        <v>4</v>
      </c>
    </row>
    <row r="88" spans="1:7" x14ac:dyDescent="0.25">
      <c r="A88" s="13">
        <v>4</v>
      </c>
      <c r="B88">
        <v>1</v>
      </c>
    </row>
    <row r="89" spans="1:7" x14ac:dyDescent="0.25">
      <c r="A89" s="13">
        <v>4</v>
      </c>
    </row>
    <row r="90" spans="1:7" x14ac:dyDescent="0.25">
      <c r="A90" s="13">
        <v>4</v>
      </c>
    </row>
    <row r="91" spans="1:7" x14ac:dyDescent="0.25">
      <c r="A91" s="14">
        <v>4</v>
      </c>
    </row>
    <row r="92" spans="1:7" x14ac:dyDescent="0.25">
      <c r="A92" s="13">
        <v>4</v>
      </c>
      <c r="B92">
        <v>1</v>
      </c>
    </row>
    <row r="93" spans="1:7" x14ac:dyDescent="0.25">
      <c r="A93" s="13">
        <v>4</v>
      </c>
    </row>
    <row r="94" spans="1:7" x14ac:dyDescent="0.25">
      <c r="A94" s="13">
        <v>4</v>
      </c>
    </row>
    <row r="95" spans="1:7" x14ac:dyDescent="0.25">
      <c r="A95" s="13">
        <v>4</v>
      </c>
      <c r="B95" s="13"/>
      <c r="C95" s="13"/>
      <c r="D95" s="13"/>
      <c r="E95" s="13"/>
      <c r="F95" s="13"/>
      <c r="G95" s="13"/>
    </row>
  </sheetData>
  <autoFilter ref="A1:N98" xr:uid="{78B5DD6F-704A-4599-99D1-494CAE00F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2026-08-06T19:21:21Z</dcterms:modified>
</cp:coreProperties>
</file>