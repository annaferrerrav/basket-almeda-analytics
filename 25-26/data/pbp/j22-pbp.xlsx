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"/>
    </mc:Choice>
  </mc:AlternateContent>
  <xr:revisionPtr revIDLastSave="1698" documentId="13_ncr:1_{1772F8F2-4520-48BA-A8FE-FFD6633FEF2A}" xr6:coauthVersionLast="47" xr6:coauthVersionMax="47" xr10:uidLastSave="{40F06B36-23D5-4A1E-A178-54C92465A8AA}"/>
  <bookViews>
    <workbookView xWindow="14295" yWindow="0" windowWidth="14610" windowHeight="15585" xr2:uid="{2F001749-FD8A-442A-92C1-110CD0EC477C}"/>
  </bookViews>
  <sheets>
    <sheet name="Hoja1" sheetId="1" r:id="rId1"/>
  </sheets>
  <definedNames>
    <definedName name="_xlnm._FilterDatabase" localSheetId="0" hidden="1">Hoja1!$A$1:$AD$91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S2" i="1"/>
  <c r="U2" i="1" l="1"/>
  <c r="T17" i="1"/>
  <c r="S3" i="1"/>
  <c r="S4" i="1" l="1"/>
  <c r="U3" i="1"/>
  <c r="T18" i="1"/>
  <c r="S5" i="1" l="1"/>
  <c r="U4" i="1"/>
  <c r="T19" i="1"/>
  <c r="S6" i="1" l="1"/>
  <c r="U5" i="1"/>
  <c r="T20" i="1"/>
  <c r="U6" i="1" l="1"/>
  <c r="S7" i="1"/>
  <c r="T21" i="1"/>
  <c r="U7" i="1" l="1"/>
  <c r="S8" i="1"/>
  <c r="T22" i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l="1"/>
  <c r="T89" i="1"/>
  <c r="T88" i="1"/>
  <c r="T91" i="1" s="1"/>
  <c r="T90" i="1"/>
  <c r="U8" i="1"/>
  <c r="S9" i="1"/>
  <c r="U9" i="1" l="1"/>
  <c r="S10" i="1"/>
  <c r="U10" i="1" l="1"/>
  <c r="S11" i="1"/>
  <c r="U11" i="1" l="1"/>
  <c r="S12" i="1"/>
  <c r="U12" i="1" l="1"/>
  <c r="S13" i="1"/>
  <c r="U13" i="1" l="1"/>
  <c r="S14" i="1"/>
  <c r="U14" i="1" l="1"/>
  <c r="S15" i="1"/>
  <c r="U15" i="1" l="1"/>
  <c r="S16" i="1"/>
  <c r="U16" i="1" l="1"/>
  <c r="S17" i="1"/>
  <c r="U17" i="1" l="1"/>
  <c r="S18" i="1"/>
  <c r="U18" i="1" l="1"/>
  <c r="S19" i="1"/>
  <c r="U19" i="1" l="1"/>
  <c r="S20" i="1"/>
  <c r="U20" i="1" l="1"/>
  <c r="S21" i="1"/>
  <c r="U21" i="1" l="1"/>
  <c r="S22" i="1"/>
  <c r="S23" i="1" s="1"/>
  <c r="S24" i="1" l="1"/>
  <c r="U23" i="1"/>
  <c r="U22" i="1"/>
  <c r="U24" i="1" l="1"/>
  <c r="S25" i="1"/>
  <c r="S26" i="1" l="1"/>
  <c r="U25" i="1"/>
  <c r="U26" i="1" l="1"/>
  <c r="S27" i="1"/>
  <c r="U27" i="1" l="1"/>
  <c r="S28" i="1"/>
  <c r="U28" i="1" l="1"/>
  <c r="S29" i="1"/>
  <c r="S30" i="1" l="1"/>
  <c r="U29" i="1"/>
  <c r="S31" i="1" l="1"/>
  <c r="U30" i="1"/>
  <c r="U31" i="1" l="1"/>
  <c r="S32" i="1"/>
  <c r="S33" i="1" l="1"/>
  <c r="U32" i="1"/>
  <c r="S34" i="1" l="1"/>
  <c r="U33" i="1"/>
  <c r="U34" i="1" l="1"/>
  <c r="S35" i="1"/>
  <c r="U35" i="1" l="1"/>
  <c r="S36" i="1"/>
  <c r="U36" i="1" l="1"/>
  <c r="S37" i="1"/>
  <c r="U37" i="1" l="1"/>
  <c r="S38" i="1"/>
  <c r="S39" i="1" l="1"/>
  <c r="U38" i="1"/>
  <c r="U39" i="1" l="1"/>
  <c r="S40" i="1"/>
  <c r="S41" i="1" l="1"/>
  <c r="U40" i="1"/>
  <c r="U41" i="1" l="1"/>
  <c r="S42" i="1"/>
  <c r="S43" i="1" l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U42" i="1"/>
  <c r="U70" i="1" l="1"/>
  <c r="S71" i="1"/>
  <c r="U44" i="1"/>
  <c r="U43" i="1"/>
  <c r="U71" i="1" l="1"/>
  <c r="S72" i="1"/>
  <c r="U45" i="1"/>
  <c r="U72" i="1" l="1"/>
  <c r="S73" i="1"/>
  <c r="U46" i="1"/>
  <c r="U73" i="1" l="1"/>
  <c r="S74" i="1"/>
  <c r="U47" i="1"/>
  <c r="U74" i="1" l="1"/>
  <c r="S75" i="1"/>
  <c r="U48" i="1"/>
  <c r="S76" i="1" l="1"/>
  <c r="U75" i="1"/>
  <c r="U49" i="1"/>
  <c r="S77" i="1" l="1"/>
  <c r="U76" i="1"/>
  <c r="U50" i="1"/>
  <c r="S78" i="1" l="1"/>
  <c r="U77" i="1"/>
  <c r="U51" i="1"/>
  <c r="U78" i="1" l="1"/>
  <c r="S79" i="1"/>
  <c r="U52" i="1"/>
  <c r="U79" i="1" l="1"/>
  <c r="S80" i="1"/>
  <c r="U53" i="1"/>
  <c r="U80" i="1" l="1"/>
  <c r="S81" i="1"/>
  <c r="U54" i="1"/>
  <c r="U81" i="1" l="1"/>
  <c r="S82" i="1"/>
  <c r="U55" i="1"/>
  <c r="U82" i="1" l="1"/>
  <c r="S83" i="1"/>
  <c r="U56" i="1"/>
  <c r="S84" i="1" l="1"/>
  <c r="U83" i="1"/>
  <c r="U57" i="1"/>
  <c r="S85" i="1" l="1"/>
  <c r="U84" i="1"/>
  <c r="U58" i="1"/>
  <c r="S86" i="1" l="1"/>
  <c r="S89" i="1" s="1"/>
  <c r="U89" i="1" s="1"/>
  <c r="U85" i="1"/>
  <c r="U59" i="1"/>
  <c r="U86" i="1" l="1"/>
  <c r="S87" i="1"/>
  <c r="S90" i="1" s="1"/>
  <c r="U90" i="1" s="1"/>
  <c r="U60" i="1"/>
  <c r="U87" i="1" l="1"/>
  <c r="S88" i="1"/>
  <c r="U61" i="1"/>
  <c r="U88" i="1" l="1"/>
  <c r="S91" i="1"/>
  <c r="U62" i="1"/>
  <c r="U91" i="1" l="1"/>
  <c r="U63" i="1"/>
  <c r="U64" i="1" l="1"/>
  <c r="U65" i="1" l="1"/>
  <c r="U66" i="1" l="1"/>
  <c r="U67" i="1" l="1"/>
  <c r="U68" i="1" l="1"/>
  <c r="U69" i="1" l="1"/>
</calcChain>
</file>

<file path=xl/sharedStrings.xml><?xml version="1.0" encoding="utf-8"?>
<sst xmlns="http://schemas.openxmlformats.org/spreadsheetml/2006/main" count="930" uniqueCount="77">
  <si>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</si>
  <si>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</si>
  <si>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</si>
  <si>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</si>
  <si>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</si>
  <si>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</si>
  <si>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</si>
  <si>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</si>
  <si>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</si>
  <si>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</si>
  <si>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</si>
  <si>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</si>
  <si>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</si>
  <si>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</si>
  <si>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</si>
  <si>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</si>
  <si>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</si>
  <si>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</si>
  <si>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</si>
  <si>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</si>
  <si>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</si>
  <si>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</si>
  <si>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</si>
  <si>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Dana</t>
  </si>
  <si>
    <t>RO a favor</t>
  </si>
  <si>
    <t>RD a favor</t>
  </si>
  <si>
    <t>RO en contra</t>
  </si>
  <si>
    <t>RD en contra</t>
  </si>
  <si>
    <t>Punts RO rival</t>
  </si>
  <si>
    <t>Punts RO a favor</t>
  </si>
  <si>
    <t>Cojo</t>
  </si>
  <si>
    <t>Tapia</t>
  </si>
  <si>
    <t>SEGLE XXI</t>
  </si>
  <si>
    <t>Local</t>
  </si>
  <si>
    <t>Mar</t>
  </si>
  <si>
    <t>play</t>
  </si>
  <si>
    <t>t2c</t>
  </si>
  <si>
    <t>tierno</t>
  </si>
  <si>
    <t>cuatro</t>
  </si>
  <si>
    <t>t2f</t>
  </si>
  <si>
    <t>mar</t>
  </si>
  <si>
    <t>t3f</t>
  </si>
  <si>
    <t>cojo</t>
  </si>
  <si>
    <t>RO</t>
  </si>
  <si>
    <t>falta</t>
  </si>
  <si>
    <t>dana</t>
  </si>
  <si>
    <t>falta (tll)</t>
  </si>
  <si>
    <t>contratac</t>
  </si>
  <si>
    <t>tapia</t>
  </si>
  <si>
    <t>lliure</t>
  </si>
  <si>
    <t>CD</t>
  </si>
  <si>
    <t>pèrdua</t>
  </si>
  <si>
    <t>siena</t>
  </si>
  <si>
    <t>Jové</t>
  </si>
  <si>
    <t>Bernal</t>
  </si>
  <si>
    <t>jové</t>
  </si>
  <si>
    <t>Ivet</t>
  </si>
  <si>
    <t>marina</t>
  </si>
  <si>
    <t>2 mano</t>
  </si>
  <si>
    <t>bernal</t>
  </si>
  <si>
    <t>go</t>
  </si>
  <si>
    <t>final</t>
  </si>
  <si>
    <t>ivet</t>
  </si>
  <si>
    <t>cinco</t>
  </si>
  <si>
    <t>Robles</t>
  </si>
  <si>
    <t>-</t>
  </si>
  <si>
    <t>tac30</t>
  </si>
  <si>
    <t>robles</t>
  </si>
  <si>
    <t>lado</t>
  </si>
  <si>
    <t>tac33</t>
  </si>
  <si>
    <t>t3c</t>
  </si>
  <si>
    <t>tac35</t>
  </si>
  <si>
    <t>Mariona</t>
  </si>
  <si>
    <t>fons 21</t>
  </si>
  <si>
    <t>mariona</t>
  </si>
  <si>
    <t>banda</t>
  </si>
  <si>
    <t>banda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</si>
</sst>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3" borderId="0" xfId="0" applyFont="1" applyFill="1"/>
    <xf numFmtId="0" fontId="4" fillId="0" borderId="0" xfId="0" applyFont="1"/>
    <xf numFmtId="0" fontId="4" fillId="5" borderId="0" xfId="0" applyFont="1" applyFill="1"/>
    <xf numFmtId="0" fontId="4" fillId="3" borderId="0" xfId="0" applyFont="1" applyFill="1"/>
    <xf numFmtId="0" fontId="2" fillId="0" borderId="2" xfId="0" applyFont="1" applyBorder="1" applyAlignment="1">
      <alignment horizontal="center" vertical="top"/>
    </xf>
    <xf numFmtId="20" fontId="4" fillId="0" borderId="0" xfId="0" applyNumberFormat="1" applyFont="1"/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0" fontId="4" fillId="4" borderId="0" xfId="0" applyFont="1" applyFill="1"/>
    <xf numFmtId="0" fontId="4" fillId="2" borderId="0" xfId="0" applyFont="1" applyFill="1"/>
    <xf numFmtId="0" fontId="4" fillId="0" borderId="0" xfId="0" quotePrefix="1" applyFont="1"/>
    <xf numFmtId="21" fontId="4" fillId="0" borderId="0" xfId="0" applyNumberFormat="1" applyFont="1"/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/>
    <xf numFmtId="20" fontId="4" fillId="2" borderId="0" xfId="0" applyNumberFormat="1" applyFont="1" applyFill="1"/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6" fillId="0" borderId="0" xfId="0" applyFont="1" applyAlignment="1">
      <alignment horizontal="center" vertical="center"/>
    </xf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/>
    <xf numFmtId="20" fontId="4" fillId="3" borderId="0" xfId="0" applyNumberFormat="1" applyFont="1" applyFill="1"/>
    <xf numFmtId="0" fontId="4" fillId="6" borderId="0" xfId="0" applyFont="1" applyFill="1" applyAlignment="1">
      <alignment horizontal="center" vertical="center"/>
    </xf>
    <xf numFmtId="14" fontId="4" fillId="6" borderId="0" xfId="0" applyNumberFormat="1" applyFont="1" applyFill="1"/>
    <xf numFmtId="20" fontId="4" fillId="6" borderId="0" xfId="0" applyNumberFormat="1" applyFont="1" applyFill="1"/>
    <xf numFmtId="0" fontId="4" fillId="6" borderId="0" xfId="0" applyFont="1" applyFill="1"/>
    <xf numFmtId="0" fontId="7" fillId="0" borderId="0" xfId="0" applyFont="1" applyAlignment="1">
      <alignment horizontal="center" vertical="center"/>
    </xf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D91"/>
  <sheetViews>
    <sheetView tabSelected="1" topLeftCell="A61" zoomScale="115" zoomScaleNormal="115" workbookViewId="0">
      <selection activeCell="F92" sqref="A92:XFD92"/>
    </sheetView>
  </sheetViews>
  <sheetFormatPr baseColWidth="10" defaultRowHeight="15" x14ac:dyDescent="0.25"/>
  <cols>
    <col min="1" max="1" width="11.42578125" style="5"/>
    <col min="2" max="2" width="14.85546875" style="5" customWidth="1"/>
    <col min="3" max="21" width="11.42578125" style="5"/>
    <col min="22" max="22" width="20" style="5" bestFit="1" customWidth="1"/>
    <col min="23" max="23" width="0" style="5" hidden="1" customWidth="1"/>
    <col min="24" max="24" width="11.42578125" style="5"/>
    <col min="25" max="25" width="0" style="5" hidden="1" customWidth="1"/>
    <col min="26" max="26" width="11.42578125" style="5"/>
    <col min="27" max="27" width="13.42578125" style="5" customWidth="1"/>
    <col min="28" max="16384" width="11.42578125" style="5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29</v>
      </c>
      <c r="AA1" s="3" t="s">
        <v>28</v>
      </c>
      <c r="AB1" s="8"/>
      <c r="AC1" s="8"/>
      <c r="AD1" s="8"/>
    </row>
    <row r="2" spans="1:30" x14ac:dyDescent="0.25">
      <c r="A2" s="10">
        <v>22</v>
      </c>
      <c r="B2" s="10" t="s">
        <v>32</v>
      </c>
      <c r="C2" s="11">
        <v>46095</v>
      </c>
      <c r="D2" s="9">
        <v>0.77083333333333337</v>
      </c>
      <c r="E2" s="5" t="s">
        <v>33</v>
      </c>
      <c r="F2" s="13">
        <v>1</v>
      </c>
      <c r="G2" s="5">
        <v>9</v>
      </c>
      <c r="H2" s="5" t="s">
        <v>21</v>
      </c>
      <c r="I2" s="5" t="s">
        <v>31</v>
      </c>
      <c r="J2" s="5" t="s">
        <v>30</v>
      </c>
      <c r="K2" s="5" t="s">
        <v>34</v>
      </c>
      <c r="L2" s="5" t="s">
        <v>23</v>
      </c>
      <c r="M2" s="5" t="s">
        <v>35</v>
      </c>
      <c r="N2" s="5" t="s">
        <v>36</v>
      </c>
      <c r="P2" s="5" t="s">
        <v>37</v>
      </c>
      <c r="Q2" s="5">
        <v>2</v>
      </c>
      <c r="R2" s="5">
        <v>0</v>
      </c>
      <c r="S2" s="5">
        <f>Q2</f>
        <v>2</v>
      </c>
      <c r="T2" s="5">
        <f>R2</f>
        <v>0</v>
      </c>
      <c r="U2" s="10" t="str">
        <f>S2&amp;"-"&amp;T2</f>
        <v>2-0</v>
      </c>
    </row>
    <row r="3" spans="1:30" x14ac:dyDescent="0.25">
      <c r="A3" s="10">
        <v>22</v>
      </c>
      <c r="B3" s="10" t="s">
        <v>32</v>
      </c>
      <c r="C3" s="11">
        <v>46095</v>
      </c>
      <c r="D3" s="9">
        <v>0.77083333333333337</v>
      </c>
      <c r="E3" s="5" t="s">
        <v>33</v>
      </c>
      <c r="F3" s="13">
        <v>1</v>
      </c>
      <c r="G3" s="5">
        <v>9</v>
      </c>
      <c r="H3" s="5" t="s">
        <v>21</v>
      </c>
      <c r="I3" s="5" t="s">
        <v>31</v>
      </c>
      <c r="J3" s="5" t="s">
        <v>30</v>
      </c>
      <c r="K3" s="5" t="s">
        <v>34</v>
      </c>
      <c r="L3" s="5" t="s">
        <v>23</v>
      </c>
      <c r="M3" s="5" t="s">
        <v>38</v>
      </c>
      <c r="N3" s="5" t="s">
        <v>39</v>
      </c>
      <c r="P3" s="5" t="s">
        <v>40</v>
      </c>
      <c r="Q3" s="5">
        <v>0</v>
      </c>
      <c r="R3" s="5">
        <v>2</v>
      </c>
      <c r="S3" s="5">
        <f>S2+Q3</f>
        <v>2</v>
      </c>
      <c r="T3" s="5">
        <f>T2+R3</f>
        <v>2</v>
      </c>
      <c r="U3" s="10" t="str">
        <f t="shared" ref="U3:U22" si="0">S3&amp;"-"&amp;T3</f>
        <v>2-2</v>
      </c>
      <c r="X3" s="5">
        <v>1</v>
      </c>
      <c r="AA3" s="5">
        <v>2</v>
      </c>
    </row>
    <row r="4" spans="1:30" x14ac:dyDescent="0.25">
      <c r="A4" s="10">
        <v>22</v>
      </c>
      <c r="B4" s="10" t="s">
        <v>32</v>
      </c>
      <c r="C4" s="11">
        <v>46095</v>
      </c>
      <c r="D4" s="9">
        <v>0.77083333333333304</v>
      </c>
      <c r="E4" s="5" t="s">
        <v>33</v>
      </c>
      <c r="F4" s="13">
        <v>1</v>
      </c>
      <c r="G4" s="5">
        <v>8</v>
      </c>
      <c r="H4" s="5" t="s">
        <v>21</v>
      </c>
      <c r="I4" s="5" t="s">
        <v>31</v>
      </c>
      <c r="J4" s="5" t="s">
        <v>30</v>
      </c>
      <c r="K4" s="5" t="s">
        <v>34</v>
      </c>
      <c r="L4" s="5" t="s">
        <v>23</v>
      </c>
      <c r="M4" s="5" t="s">
        <v>38</v>
      </c>
      <c r="N4" s="5" t="s">
        <v>41</v>
      </c>
      <c r="P4" s="5" t="s">
        <v>42</v>
      </c>
      <c r="Q4" s="5">
        <v>0</v>
      </c>
      <c r="R4" s="5">
        <v>0</v>
      </c>
      <c r="S4" s="5">
        <f t="shared" ref="S4:S15" si="1">S3+Q4</f>
        <v>2</v>
      </c>
      <c r="T4" s="5">
        <f t="shared" ref="T4:T15" si="2">T3+R4</f>
        <v>2</v>
      </c>
      <c r="U4" s="10" t="str">
        <f t="shared" si="0"/>
        <v>2-2</v>
      </c>
    </row>
    <row r="5" spans="1:30" x14ac:dyDescent="0.25">
      <c r="A5" s="10">
        <v>22</v>
      </c>
      <c r="B5" s="10" t="s">
        <v>32</v>
      </c>
      <c r="C5" s="11">
        <v>46095</v>
      </c>
      <c r="D5" s="9">
        <v>0.77083333333333304</v>
      </c>
      <c r="E5" s="5" t="s">
        <v>33</v>
      </c>
      <c r="F5" s="13">
        <v>1</v>
      </c>
      <c r="G5" s="5">
        <v>8</v>
      </c>
      <c r="H5" s="5" t="s">
        <v>21</v>
      </c>
      <c r="I5" s="5" t="s">
        <v>31</v>
      </c>
      <c r="J5" s="5" t="s">
        <v>30</v>
      </c>
      <c r="K5" s="5" t="s">
        <v>34</v>
      </c>
      <c r="L5" s="5" t="s">
        <v>23</v>
      </c>
      <c r="M5" s="5" t="s">
        <v>43</v>
      </c>
      <c r="N5" s="5" t="s">
        <v>46</v>
      </c>
      <c r="P5" s="5" t="s">
        <v>45</v>
      </c>
      <c r="Q5" s="5">
        <v>1</v>
      </c>
      <c r="R5" s="5">
        <v>0</v>
      </c>
      <c r="S5" s="5">
        <f t="shared" si="1"/>
        <v>3</v>
      </c>
      <c r="T5" s="5">
        <f t="shared" si="2"/>
        <v>2</v>
      </c>
      <c r="U5" s="10" t="str">
        <f t="shared" si="0"/>
        <v>3-2</v>
      </c>
      <c r="V5" s="5">
        <v>1</v>
      </c>
      <c r="Z5" s="5">
        <v>1</v>
      </c>
    </row>
    <row r="6" spans="1:30" x14ac:dyDescent="0.25">
      <c r="A6" s="10">
        <v>22</v>
      </c>
      <c r="B6" s="10" t="s">
        <v>32</v>
      </c>
      <c r="C6" s="11">
        <v>46095</v>
      </c>
      <c r="D6" s="9">
        <v>0.77083333333333304</v>
      </c>
      <c r="E6" s="5" t="s">
        <v>33</v>
      </c>
      <c r="F6" s="13">
        <v>1</v>
      </c>
      <c r="G6" s="5">
        <v>7</v>
      </c>
      <c r="H6" s="5" t="s">
        <v>21</v>
      </c>
      <c r="I6" s="5" t="s">
        <v>31</v>
      </c>
      <c r="J6" s="5" t="s">
        <v>30</v>
      </c>
      <c r="K6" s="5" t="s">
        <v>34</v>
      </c>
      <c r="L6" s="5" t="s">
        <v>23</v>
      </c>
      <c r="M6" s="5" t="s">
        <v>47</v>
      </c>
      <c r="N6" s="5" t="s">
        <v>39</v>
      </c>
      <c r="P6" s="5" t="s">
        <v>48</v>
      </c>
      <c r="Q6" s="5">
        <v>0</v>
      </c>
      <c r="R6" s="5">
        <v>0</v>
      </c>
      <c r="S6" s="5">
        <f t="shared" si="1"/>
        <v>3</v>
      </c>
      <c r="T6" s="5">
        <f t="shared" si="2"/>
        <v>2</v>
      </c>
      <c r="U6" s="10" t="str">
        <f t="shared" si="0"/>
        <v>3-2</v>
      </c>
    </row>
    <row r="7" spans="1:30" x14ac:dyDescent="0.25">
      <c r="A7" s="10">
        <v>22</v>
      </c>
      <c r="B7" s="10" t="s">
        <v>32</v>
      </c>
      <c r="C7" s="11">
        <v>46095</v>
      </c>
      <c r="D7" s="9">
        <v>0.77083333333333304</v>
      </c>
      <c r="E7" s="5" t="s">
        <v>33</v>
      </c>
      <c r="F7" s="13">
        <v>1</v>
      </c>
      <c r="G7" s="5">
        <v>7</v>
      </c>
      <c r="H7" s="5" t="s">
        <v>21</v>
      </c>
      <c r="I7" s="5" t="s">
        <v>31</v>
      </c>
      <c r="J7" s="5" t="s">
        <v>30</v>
      </c>
      <c r="K7" s="5" t="s">
        <v>34</v>
      </c>
      <c r="L7" s="5" t="s">
        <v>23</v>
      </c>
      <c r="M7" s="5" t="s">
        <v>49</v>
      </c>
      <c r="N7" s="5" t="s">
        <v>39</v>
      </c>
      <c r="P7" s="5" t="s">
        <v>42</v>
      </c>
      <c r="Q7" s="5">
        <v>0</v>
      </c>
      <c r="R7" s="5">
        <v>2</v>
      </c>
      <c r="S7" s="5">
        <f t="shared" si="1"/>
        <v>3</v>
      </c>
      <c r="T7" s="5">
        <f t="shared" si="2"/>
        <v>4</v>
      </c>
      <c r="U7" s="10" t="str">
        <f t="shared" si="0"/>
        <v>3-4</v>
      </c>
    </row>
    <row r="8" spans="1:30" x14ac:dyDescent="0.25">
      <c r="A8" s="10">
        <v>22</v>
      </c>
      <c r="B8" s="10" t="s">
        <v>32</v>
      </c>
      <c r="C8" s="11">
        <v>46095</v>
      </c>
      <c r="D8" s="9">
        <v>0.77083333333333304</v>
      </c>
      <c r="E8" s="5" t="s">
        <v>33</v>
      </c>
      <c r="F8" s="13">
        <v>1</v>
      </c>
      <c r="G8" s="5">
        <v>6</v>
      </c>
      <c r="H8" s="5" t="s">
        <v>21</v>
      </c>
      <c r="I8" s="5" t="s">
        <v>31</v>
      </c>
      <c r="J8" s="5" t="s">
        <v>30</v>
      </c>
      <c r="K8" s="5" t="s">
        <v>34</v>
      </c>
      <c r="L8" s="5" t="s">
        <v>23</v>
      </c>
      <c r="M8" s="5" t="s">
        <v>50</v>
      </c>
      <c r="N8" s="5" t="s">
        <v>51</v>
      </c>
      <c r="P8" s="5" t="s">
        <v>37</v>
      </c>
      <c r="Q8" s="5">
        <v>0</v>
      </c>
      <c r="R8" s="5">
        <v>0</v>
      </c>
      <c r="S8" s="5">
        <f t="shared" si="1"/>
        <v>3</v>
      </c>
      <c r="T8" s="5">
        <f t="shared" si="2"/>
        <v>4</v>
      </c>
      <c r="U8" s="10" t="str">
        <f t="shared" si="0"/>
        <v>3-4</v>
      </c>
    </row>
    <row r="9" spans="1:30" x14ac:dyDescent="0.25">
      <c r="A9" s="10">
        <v>22</v>
      </c>
      <c r="B9" s="10" t="s">
        <v>32</v>
      </c>
      <c r="C9" s="11">
        <v>46095</v>
      </c>
      <c r="D9" s="9">
        <v>0.77083333333333304</v>
      </c>
      <c r="E9" s="5" t="s">
        <v>33</v>
      </c>
      <c r="F9" s="13">
        <v>1</v>
      </c>
      <c r="G9" s="5">
        <v>6</v>
      </c>
      <c r="H9" s="5" t="s">
        <v>21</v>
      </c>
      <c r="I9" s="5" t="s">
        <v>31</v>
      </c>
      <c r="J9" s="5" t="s">
        <v>30</v>
      </c>
      <c r="K9" s="5" t="s">
        <v>34</v>
      </c>
      <c r="L9" s="5" t="s">
        <v>23</v>
      </c>
      <c r="M9" s="5" t="s">
        <v>52</v>
      </c>
      <c r="N9" s="5" t="s">
        <v>39</v>
      </c>
      <c r="P9" s="5" t="s">
        <v>42</v>
      </c>
      <c r="Q9" s="5">
        <v>0</v>
      </c>
      <c r="R9" s="5">
        <v>3</v>
      </c>
      <c r="S9" s="5">
        <f t="shared" si="1"/>
        <v>3</v>
      </c>
      <c r="T9" s="5">
        <f t="shared" si="2"/>
        <v>7</v>
      </c>
      <c r="U9" s="10" t="str">
        <f t="shared" si="0"/>
        <v>3-7</v>
      </c>
    </row>
    <row r="10" spans="1:30" x14ac:dyDescent="0.25">
      <c r="A10" s="10">
        <v>22</v>
      </c>
      <c r="B10" s="10" t="s">
        <v>32</v>
      </c>
      <c r="C10" s="11">
        <v>46095</v>
      </c>
      <c r="D10" s="9">
        <v>0.77083333333333304</v>
      </c>
      <c r="E10" s="5" t="s">
        <v>33</v>
      </c>
      <c r="F10" s="13">
        <v>1</v>
      </c>
      <c r="G10" s="5">
        <v>5</v>
      </c>
      <c r="H10" s="5" t="s">
        <v>21</v>
      </c>
      <c r="I10" s="5" t="s">
        <v>31</v>
      </c>
      <c r="J10" s="5" t="s">
        <v>30</v>
      </c>
      <c r="K10" s="5" t="s">
        <v>34</v>
      </c>
      <c r="L10" s="5" t="s">
        <v>23</v>
      </c>
      <c r="M10" s="5" t="s">
        <v>35</v>
      </c>
      <c r="N10" s="5" t="s">
        <v>41</v>
      </c>
      <c r="P10" s="5" t="s">
        <v>48</v>
      </c>
      <c r="Q10" s="5">
        <v>0</v>
      </c>
      <c r="R10" s="5">
        <v>2</v>
      </c>
      <c r="S10" s="5">
        <f t="shared" si="1"/>
        <v>3</v>
      </c>
      <c r="T10" s="5">
        <f t="shared" si="2"/>
        <v>9</v>
      </c>
      <c r="U10" s="10" t="str">
        <f t="shared" si="0"/>
        <v>3-9</v>
      </c>
    </row>
    <row r="11" spans="1:30" x14ac:dyDescent="0.25">
      <c r="A11" s="10">
        <v>22</v>
      </c>
      <c r="B11" s="10" t="s">
        <v>32</v>
      </c>
      <c r="C11" s="11">
        <v>46095</v>
      </c>
      <c r="D11" s="9">
        <v>0.77083333333333304</v>
      </c>
      <c r="E11" s="5" t="s">
        <v>33</v>
      </c>
      <c r="F11" s="13">
        <v>1</v>
      </c>
      <c r="G11" s="5">
        <v>5</v>
      </c>
      <c r="H11" s="5" t="s">
        <v>21</v>
      </c>
      <c r="I11" s="5" t="s">
        <v>31</v>
      </c>
      <c r="J11" s="5" t="s">
        <v>30</v>
      </c>
      <c r="K11" s="5" t="s">
        <v>34</v>
      </c>
      <c r="L11" s="5" t="s">
        <v>23</v>
      </c>
      <c r="M11" s="5" t="s">
        <v>49</v>
      </c>
      <c r="N11" s="5" t="s">
        <v>39</v>
      </c>
      <c r="P11" s="5" t="s">
        <v>48</v>
      </c>
      <c r="Q11" s="5">
        <v>0</v>
      </c>
      <c r="R11" s="5">
        <v>0</v>
      </c>
      <c r="S11" s="5">
        <f t="shared" si="1"/>
        <v>3</v>
      </c>
      <c r="T11" s="5">
        <f t="shared" si="2"/>
        <v>9</v>
      </c>
      <c r="U11" s="10" t="str">
        <f t="shared" si="0"/>
        <v>3-9</v>
      </c>
    </row>
    <row r="12" spans="1:30" x14ac:dyDescent="0.25">
      <c r="A12" s="10">
        <v>22</v>
      </c>
      <c r="B12" s="10" t="s">
        <v>32</v>
      </c>
      <c r="C12" s="11">
        <v>46095</v>
      </c>
      <c r="D12" s="9">
        <v>0.77083333333333304</v>
      </c>
      <c r="E12" s="5" t="s">
        <v>33</v>
      </c>
      <c r="F12" s="13">
        <v>1</v>
      </c>
      <c r="G12" s="5">
        <v>4</v>
      </c>
      <c r="H12" s="5" t="s">
        <v>21</v>
      </c>
      <c r="I12" s="5" t="s">
        <v>31</v>
      </c>
      <c r="J12" s="5" t="s">
        <v>30</v>
      </c>
      <c r="K12" s="5" t="s">
        <v>34</v>
      </c>
      <c r="L12" s="5" t="s">
        <v>23</v>
      </c>
      <c r="M12" s="5" t="s">
        <v>38</v>
      </c>
      <c r="N12" s="5" t="s">
        <v>39</v>
      </c>
      <c r="P12" s="5" t="s">
        <v>42</v>
      </c>
      <c r="Q12" s="5">
        <v>0</v>
      </c>
      <c r="R12" s="5">
        <v>0</v>
      </c>
      <c r="S12" s="5">
        <f t="shared" si="1"/>
        <v>3</v>
      </c>
      <c r="T12" s="5">
        <f t="shared" si="2"/>
        <v>9</v>
      </c>
      <c r="U12" s="10" t="str">
        <f t="shared" si="0"/>
        <v>3-9</v>
      </c>
    </row>
    <row r="13" spans="1:30" x14ac:dyDescent="0.25">
      <c r="A13" s="10">
        <v>22</v>
      </c>
      <c r="B13" s="10" t="s">
        <v>32</v>
      </c>
      <c r="C13" s="11">
        <v>46095</v>
      </c>
      <c r="D13" s="9">
        <v>0.77083333333333304</v>
      </c>
      <c r="E13" s="5" t="s">
        <v>33</v>
      </c>
      <c r="F13" s="13">
        <v>1</v>
      </c>
      <c r="G13" s="5">
        <v>4</v>
      </c>
      <c r="H13" s="5" t="s">
        <v>21</v>
      </c>
      <c r="I13" s="5" t="s">
        <v>53</v>
      </c>
      <c r="J13" s="5" t="s">
        <v>22</v>
      </c>
      <c r="K13" s="5" t="s">
        <v>30</v>
      </c>
      <c r="L13" s="5" t="s">
        <v>54</v>
      </c>
      <c r="M13" s="5" t="s">
        <v>52</v>
      </c>
      <c r="N13" s="5" t="s">
        <v>36</v>
      </c>
      <c r="P13" s="5" t="s">
        <v>55</v>
      </c>
      <c r="Q13" s="5">
        <v>3</v>
      </c>
      <c r="R13" s="5">
        <v>2</v>
      </c>
      <c r="S13" s="5">
        <f t="shared" si="1"/>
        <v>6</v>
      </c>
      <c r="T13" s="5">
        <f t="shared" si="2"/>
        <v>11</v>
      </c>
      <c r="U13" s="10" t="str">
        <f t="shared" si="0"/>
        <v>6-11</v>
      </c>
      <c r="X13" s="5">
        <v>2</v>
      </c>
      <c r="AA13" s="5">
        <v>2</v>
      </c>
    </row>
    <row r="14" spans="1:30" x14ac:dyDescent="0.25">
      <c r="A14" s="10">
        <v>22</v>
      </c>
      <c r="B14" s="10" t="s">
        <v>32</v>
      </c>
      <c r="C14" s="11">
        <v>46095</v>
      </c>
      <c r="D14" s="9">
        <v>0.77083333333333304</v>
      </c>
      <c r="E14" s="5" t="s">
        <v>33</v>
      </c>
      <c r="F14" s="13">
        <v>1</v>
      </c>
      <c r="G14" s="5">
        <v>3</v>
      </c>
      <c r="H14" s="5" t="s">
        <v>21</v>
      </c>
      <c r="I14" s="5" t="s">
        <v>53</v>
      </c>
      <c r="J14" s="5" t="s">
        <v>22</v>
      </c>
      <c r="K14" s="5" t="s">
        <v>30</v>
      </c>
      <c r="L14" s="5" t="s">
        <v>54</v>
      </c>
      <c r="M14" s="5" t="s">
        <v>35</v>
      </c>
      <c r="N14" s="5" t="s">
        <v>39</v>
      </c>
      <c r="P14" s="5" t="s">
        <v>55</v>
      </c>
      <c r="Q14" s="5">
        <v>0</v>
      </c>
      <c r="R14" s="5">
        <v>2</v>
      </c>
      <c r="S14" s="5">
        <f t="shared" si="1"/>
        <v>6</v>
      </c>
      <c r="T14" s="5">
        <f t="shared" si="2"/>
        <v>13</v>
      </c>
      <c r="U14" s="10" t="str">
        <f t="shared" si="0"/>
        <v>6-13</v>
      </c>
    </row>
    <row r="15" spans="1:30" x14ac:dyDescent="0.25">
      <c r="A15" s="10">
        <v>22</v>
      </c>
      <c r="B15" s="10" t="s">
        <v>32</v>
      </c>
      <c r="C15" s="11">
        <v>46095</v>
      </c>
      <c r="D15" s="9">
        <v>0.77083333333333304</v>
      </c>
      <c r="E15" s="5" t="s">
        <v>33</v>
      </c>
      <c r="F15" s="13">
        <v>1</v>
      </c>
      <c r="G15" s="5">
        <v>2</v>
      </c>
      <c r="H15" s="5" t="s">
        <v>21</v>
      </c>
      <c r="I15" s="5" t="s">
        <v>53</v>
      </c>
      <c r="J15" s="5" t="s">
        <v>22</v>
      </c>
      <c r="K15" s="5" t="s">
        <v>30</v>
      </c>
      <c r="L15" s="5" t="s">
        <v>54</v>
      </c>
      <c r="M15" s="5" t="s">
        <v>52</v>
      </c>
      <c r="N15" s="5" t="s">
        <v>51</v>
      </c>
      <c r="P15" s="5" t="s">
        <v>42</v>
      </c>
      <c r="Q15" s="5">
        <v>0</v>
      </c>
      <c r="R15" s="5">
        <v>0</v>
      </c>
      <c r="S15" s="5">
        <f t="shared" si="1"/>
        <v>6</v>
      </c>
      <c r="T15" s="5">
        <f t="shared" si="2"/>
        <v>13</v>
      </c>
      <c r="U15" s="10" t="str">
        <f t="shared" si="0"/>
        <v>6-13</v>
      </c>
    </row>
    <row r="16" spans="1:30" x14ac:dyDescent="0.25">
      <c r="A16" s="10">
        <v>22</v>
      </c>
      <c r="B16" s="10" t="s">
        <v>32</v>
      </c>
      <c r="C16" s="11">
        <v>46095</v>
      </c>
      <c r="D16" s="9">
        <v>0.77083333333333304</v>
      </c>
      <c r="E16" s="5" t="s">
        <v>33</v>
      </c>
      <c r="F16" s="13">
        <v>1</v>
      </c>
      <c r="G16" s="5">
        <v>2</v>
      </c>
      <c r="H16" s="5" t="s">
        <v>53</v>
      </c>
      <c r="I16" s="5" t="s">
        <v>22</v>
      </c>
      <c r="J16" s="5" t="s">
        <v>56</v>
      </c>
      <c r="K16" s="5" t="s">
        <v>34</v>
      </c>
      <c r="L16" s="5" t="s">
        <v>54</v>
      </c>
      <c r="M16" s="5" t="s">
        <v>52</v>
      </c>
      <c r="N16" s="5" t="s">
        <v>51</v>
      </c>
      <c r="P16" s="5" t="s">
        <v>57</v>
      </c>
      <c r="Q16" s="5">
        <v>0</v>
      </c>
      <c r="R16" s="5">
        <v>0</v>
      </c>
      <c r="S16" s="5">
        <f t="shared" ref="S16:S21" si="3">S15+Q16</f>
        <v>6</v>
      </c>
      <c r="T16" s="5">
        <f t="shared" ref="T16:T21" si="4">T15+R16</f>
        <v>13</v>
      </c>
      <c r="U16" s="10" t="str">
        <f t="shared" si="0"/>
        <v>6-13</v>
      </c>
    </row>
    <row r="17" spans="1:27" x14ac:dyDescent="0.25">
      <c r="A17" s="10">
        <v>22</v>
      </c>
      <c r="B17" s="10" t="s">
        <v>32</v>
      </c>
      <c r="C17" s="11">
        <v>46095</v>
      </c>
      <c r="D17" s="9">
        <v>0.77083333333333304</v>
      </c>
      <c r="E17" s="5" t="s">
        <v>33</v>
      </c>
      <c r="F17" s="13">
        <v>1</v>
      </c>
      <c r="G17" s="5">
        <v>2</v>
      </c>
      <c r="H17" s="5" t="s">
        <v>53</v>
      </c>
      <c r="I17" s="5" t="s">
        <v>22</v>
      </c>
      <c r="J17" s="5" t="s">
        <v>56</v>
      </c>
      <c r="K17" s="5" t="s">
        <v>34</v>
      </c>
      <c r="L17" s="5" t="s">
        <v>54</v>
      </c>
      <c r="M17" s="5" t="s">
        <v>50</v>
      </c>
      <c r="N17" s="5" t="s">
        <v>51</v>
      </c>
      <c r="P17" s="5" t="s">
        <v>55</v>
      </c>
      <c r="Q17" s="5">
        <v>0</v>
      </c>
      <c r="R17" s="5">
        <v>3</v>
      </c>
      <c r="S17" s="5">
        <f t="shared" si="3"/>
        <v>6</v>
      </c>
      <c r="T17" s="5">
        <f t="shared" si="4"/>
        <v>16</v>
      </c>
      <c r="U17" s="10" t="str">
        <f t="shared" si="0"/>
        <v>6-16</v>
      </c>
    </row>
    <row r="18" spans="1:27" x14ac:dyDescent="0.25">
      <c r="A18" s="10">
        <v>22</v>
      </c>
      <c r="B18" s="10" t="s">
        <v>32</v>
      </c>
      <c r="C18" s="11">
        <v>46095</v>
      </c>
      <c r="D18" s="9">
        <v>0.77083333333333304</v>
      </c>
      <c r="E18" s="5" t="s">
        <v>33</v>
      </c>
      <c r="F18" s="13">
        <v>1</v>
      </c>
      <c r="G18" s="5">
        <v>1</v>
      </c>
      <c r="H18" s="5" t="s">
        <v>53</v>
      </c>
      <c r="I18" s="5" t="s">
        <v>22</v>
      </c>
      <c r="J18" s="5" t="s">
        <v>56</v>
      </c>
      <c r="K18" s="5" t="s">
        <v>34</v>
      </c>
      <c r="L18" s="5" t="s">
        <v>54</v>
      </c>
      <c r="M18" s="5" t="s">
        <v>58</v>
      </c>
      <c r="N18" s="5" t="s">
        <v>36</v>
      </c>
      <c r="O18" s="5" t="s">
        <v>57</v>
      </c>
      <c r="P18" s="5" t="s">
        <v>59</v>
      </c>
      <c r="Q18" s="5">
        <v>2</v>
      </c>
      <c r="R18" s="5">
        <v>0</v>
      </c>
      <c r="S18" s="5">
        <f t="shared" si="3"/>
        <v>8</v>
      </c>
      <c r="T18" s="5">
        <f t="shared" si="4"/>
        <v>16</v>
      </c>
      <c r="U18" s="10" t="str">
        <f t="shared" si="0"/>
        <v>8-16</v>
      </c>
    </row>
    <row r="19" spans="1:27" x14ac:dyDescent="0.25">
      <c r="A19" s="10">
        <v>22</v>
      </c>
      <c r="B19" s="10" t="s">
        <v>32</v>
      </c>
      <c r="C19" s="11">
        <v>46095</v>
      </c>
      <c r="D19" s="9">
        <v>0.77083333333333304</v>
      </c>
      <c r="E19" s="5" t="s">
        <v>33</v>
      </c>
      <c r="F19" s="13">
        <v>1</v>
      </c>
      <c r="G19" s="5">
        <v>1</v>
      </c>
      <c r="H19" s="5" t="s">
        <v>53</v>
      </c>
      <c r="I19" s="5" t="s">
        <v>22</v>
      </c>
      <c r="J19" s="5" t="s">
        <v>56</v>
      </c>
      <c r="K19" s="5" t="s">
        <v>34</v>
      </c>
      <c r="L19" s="5" t="s">
        <v>54</v>
      </c>
      <c r="M19" s="5" t="s">
        <v>60</v>
      </c>
      <c r="N19" s="5" t="s">
        <v>51</v>
      </c>
      <c r="P19" s="5" t="s">
        <v>57</v>
      </c>
      <c r="Q19" s="5">
        <v>0</v>
      </c>
      <c r="R19" s="5">
        <v>2</v>
      </c>
      <c r="S19" s="5">
        <f t="shared" si="3"/>
        <v>8</v>
      </c>
      <c r="T19" s="5">
        <f t="shared" si="4"/>
        <v>18</v>
      </c>
      <c r="U19" s="10" t="str">
        <f t="shared" si="0"/>
        <v>8-18</v>
      </c>
    </row>
    <row r="20" spans="1:27" x14ac:dyDescent="0.25">
      <c r="A20" s="10">
        <v>22</v>
      </c>
      <c r="B20" s="10" t="s">
        <v>32</v>
      </c>
      <c r="C20" s="11">
        <v>46095</v>
      </c>
      <c r="D20" s="9">
        <v>0.77083333333333304</v>
      </c>
      <c r="E20" s="5" t="s">
        <v>33</v>
      </c>
      <c r="F20" s="13">
        <v>1</v>
      </c>
      <c r="G20" s="5">
        <v>1</v>
      </c>
      <c r="H20" s="5" t="s">
        <v>53</v>
      </c>
      <c r="I20" s="5" t="s">
        <v>22</v>
      </c>
      <c r="J20" s="5" t="s">
        <v>56</v>
      </c>
      <c r="K20" s="5" t="s">
        <v>34</v>
      </c>
      <c r="L20" s="5" t="s">
        <v>54</v>
      </c>
      <c r="M20" s="5" t="s">
        <v>38</v>
      </c>
      <c r="N20" s="5" t="s">
        <v>46</v>
      </c>
      <c r="P20" s="5" t="s">
        <v>40</v>
      </c>
      <c r="Q20" s="5">
        <v>1</v>
      </c>
      <c r="R20" s="5">
        <v>0</v>
      </c>
      <c r="S20" s="5">
        <f t="shared" si="3"/>
        <v>9</v>
      </c>
      <c r="T20" s="5">
        <f t="shared" si="4"/>
        <v>18</v>
      </c>
      <c r="U20" s="10" t="str">
        <f t="shared" si="0"/>
        <v>9-18</v>
      </c>
      <c r="X20" s="5">
        <v>1</v>
      </c>
    </row>
    <row r="21" spans="1:27" x14ac:dyDescent="0.25">
      <c r="A21" s="10">
        <v>22</v>
      </c>
      <c r="B21" s="10" t="s">
        <v>32</v>
      </c>
      <c r="C21" s="11">
        <v>46095</v>
      </c>
      <c r="D21" s="9">
        <v>0.77083333333333304</v>
      </c>
      <c r="E21" s="5" t="s">
        <v>33</v>
      </c>
      <c r="F21" s="13">
        <v>1</v>
      </c>
      <c r="G21" s="5">
        <v>0</v>
      </c>
      <c r="H21" s="5" t="s">
        <v>53</v>
      </c>
      <c r="I21" s="5" t="s">
        <v>22</v>
      </c>
      <c r="J21" s="5" t="s">
        <v>56</v>
      </c>
      <c r="K21" s="5" t="s">
        <v>34</v>
      </c>
      <c r="L21" s="5" t="s">
        <v>54</v>
      </c>
      <c r="M21" s="5" t="s">
        <v>35</v>
      </c>
      <c r="N21" s="5" t="s">
        <v>39</v>
      </c>
      <c r="P21" s="5" t="s">
        <v>57</v>
      </c>
      <c r="Q21" s="5">
        <v>0</v>
      </c>
      <c r="R21" s="5">
        <v>0</v>
      </c>
      <c r="S21" s="5">
        <f t="shared" si="3"/>
        <v>9</v>
      </c>
      <c r="T21" s="5">
        <f t="shared" si="4"/>
        <v>18</v>
      </c>
      <c r="U21" s="10" t="str">
        <f t="shared" si="0"/>
        <v>9-18</v>
      </c>
      <c r="X21" s="5">
        <v>1</v>
      </c>
    </row>
    <row r="22" spans="1:27" s="13" customFormat="1" x14ac:dyDescent="0.25">
      <c r="A22" s="16">
        <v>22</v>
      </c>
      <c r="B22" s="16" t="s">
        <v>32</v>
      </c>
      <c r="C22" s="17">
        <v>46095</v>
      </c>
      <c r="D22" s="18">
        <v>0.77083333333333304</v>
      </c>
      <c r="E22" s="13" t="s">
        <v>33</v>
      </c>
      <c r="F22" s="13">
        <v>1</v>
      </c>
      <c r="G22" s="13">
        <v>0</v>
      </c>
      <c r="H22" s="13" t="s">
        <v>53</v>
      </c>
      <c r="I22" s="13" t="s">
        <v>22</v>
      </c>
      <c r="J22" s="13" t="s">
        <v>56</v>
      </c>
      <c r="K22" s="13" t="s">
        <v>34</v>
      </c>
      <c r="L22" s="13" t="s">
        <v>54</v>
      </c>
      <c r="M22" s="13" t="s">
        <v>61</v>
      </c>
      <c r="N22" s="13" t="s">
        <v>39</v>
      </c>
      <c r="P22" s="13" t="s">
        <v>55</v>
      </c>
      <c r="Q22" s="13">
        <v>0</v>
      </c>
      <c r="R22" s="13">
        <v>0</v>
      </c>
      <c r="S22" s="13">
        <f t="shared" ref="S22:S24" si="5">S21+Q22</f>
        <v>9</v>
      </c>
      <c r="T22" s="13">
        <f t="shared" ref="T22:T24" si="6">T21+R22</f>
        <v>18</v>
      </c>
      <c r="U22" s="16" t="str">
        <f t="shared" si="0"/>
        <v>9-18</v>
      </c>
    </row>
    <row r="23" spans="1:27" x14ac:dyDescent="0.25">
      <c r="A23" s="10">
        <v>22</v>
      </c>
      <c r="B23" s="10" t="s">
        <v>32</v>
      </c>
      <c r="C23" s="11">
        <v>46095</v>
      </c>
      <c r="D23" s="9">
        <v>0.77083333333333304</v>
      </c>
      <c r="E23" s="5" t="s">
        <v>33</v>
      </c>
      <c r="F23" s="7">
        <v>2</v>
      </c>
      <c r="G23" s="5">
        <v>9</v>
      </c>
      <c r="H23" s="5" t="s">
        <v>53</v>
      </c>
      <c r="I23" s="5" t="s">
        <v>22</v>
      </c>
      <c r="J23" s="5" t="s">
        <v>56</v>
      </c>
      <c r="K23" s="5" t="s">
        <v>34</v>
      </c>
      <c r="L23" s="5" t="s">
        <v>23</v>
      </c>
      <c r="M23" s="5" t="s">
        <v>50</v>
      </c>
      <c r="N23" s="5" t="s">
        <v>51</v>
      </c>
      <c r="P23" s="5" t="s">
        <v>62</v>
      </c>
      <c r="Q23" s="5">
        <v>0</v>
      </c>
      <c r="R23" s="5">
        <v>2</v>
      </c>
      <c r="S23" s="5">
        <f t="shared" si="5"/>
        <v>9</v>
      </c>
      <c r="T23" s="5">
        <f t="shared" si="6"/>
        <v>20</v>
      </c>
      <c r="U23" s="10" t="str">
        <f t="shared" ref="U23:U24" si="7">S23&amp;"-"&amp;T23</f>
        <v>9-20</v>
      </c>
    </row>
    <row r="24" spans="1:27" x14ac:dyDescent="0.25">
      <c r="A24" s="10">
        <v>22</v>
      </c>
      <c r="B24" s="10" t="s">
        <v>32</v>
      </c>
      <c r="C24" s="11">
        <v>46095</v>
      </c>
      <c r="D24" s="9">
        <v>0.77083333333333304</v>
      </c>
      <c r="E24" s="5" t="s">
        <v>33</v>
      </c>
      <c r="F24" s="7">
        <v>2</v>
      </c>
      <c r="G24" s="5">
        <v>9</v>
      </c>
      <c r="H24" s="5" t="s">
        <v>53</v>
      </c>
      <c r="I24" s="5" t="s">
        <v>22</v>
      </c>
      <c r="J24" s="5" t="s">
        <v>56</v>
      </c>
      <c r="K24" s="5" t="s">
        <v>34</v>
      </c>
      <c r="L24" s="5" t="s">
        <v>23</v>
      </c>
      <c r="M24" s="5" t="s">
        <v>63</v>
      </c>
      <c r="N24" s="5" t="s">
        <v>36</v>
      </c>
      <c r="P24" s="5" t="s">
        <v>55</v>
      </c>
      <c r="Q24" s="5">
        <v>2</v>
      </c>
      <c r="R24" s="5">
        <v>0</v>
      </c>
      <c r="S24" s="5">
        <f t="shared" si="5"/>
        <v>11</v>
      </c>
      <c r="T24" s="5">
        <f t="shared" si="6"/>
        <v>20</v>
      </c>
      <c r="U24" s="10" t="str">
        <f t="shared" si="7"/>
        <v>11-20</v>
      </c>
    </row>
    <row r="25" spans="1:27" x14ac:dyDescent="0.25">
      <c r="A25" s="10">
        <v>22</v>
      </c>
      <c r="B25" s="10" t="s">
        <v>32</v>
      </c>
      <c r="C25" s="11">
        <v>46095</v>
      </c>
      <c r="D25" s="9">
        <v>0.77083333333333304</v>
      </c>
      <c r="E25" s="5" t="s">
        <v>33</v>
      </c>
      <c r="F25" s="7">
        <v>2</v>
      </c>
      <c r="G25" s="5">
        <v>8</v>
      </c>
      <c r="H25" s="5" t="s">
        <v>53</v>
      </c>
      <c r="I25" s="5" t="s">
        <v>64</v>
      </c>
      <c r="J25" s="5" t="s">
        <v>30</v>
      </c>
      <c r="K25" s="5" t="s">
        <v>34</v>
      </c>
      <c r="L25" s="5" t="s">
        <v>23</v>
      </c>
      <c r="M25" s="5" t="s">
        <v>65</v>
      </c>
      <c r="N25" s="5" t="s">
        <v>65</v>
      </c>
      <c r="P25" s="5" t="s">
        <v>65</v>
      </c>
      <c r="Q25" s="5">
        <v>0</v>
      </c>
      <c r="R25" s="5">
        <v>2</v>
      </c>
      <c r="S25" s="5">
        <f t="shared" ref="S25:S43" si="8">S24+Q25</f>
        <v>11</v>
      </c>
      <c r="T25" s="5">
        <f t="shared" ref="T25:T43" si="9">T24+R25</f>
        <v>22</v>
      </c>
      <c r="U25" s="10" t="str">
        <f t="shared" ref="U25:U69" si="10">S25&amp;"-"&amp;T25</f>
        <v>11-22</v>
      </c>
    </row>
    <row r="26" spans="1:27" x14ac:dyDescent="0.25">
      <c r="A26" s="10">
        <v>22</v>
      </c>
      <c r="B26" s="10" t="s">
        <v>32</v>
      </c>
      <c r="C26" s="11">
        <v>46095</v>
      </c>
      <c r="D26" s="9">
        <v>0.77083333333333304</v>
      </c>
      <c r="E26" s="5" t="s">
        <v>33</v>
      </c>
      <c r="F26" s="7">
        <v>2</v>
      </c>
      <c r="G26" s="5">
        <v>8</v>
      </c>
      <c r="H26" s="5" t="s">
        <v>53</v>
      </c>
      <c r="I26" s="5" t="s">
        <v>64</v>
      </c>
      <c r="J26" s="5" t="s">
        <v>30</v>
      </c>
      <c r="K26" s="5" t="s">
        <v>34</v>
      </c>
      <c r="L26" s="5" t="s">
        <v>23</v>
      </c>
      <c r="M26" s="5" t="s">
        <v>38</v>
      </c>
      <c r="N26" s="5" t="s">
        <v>51</v>
      </c>
      <c r="P26" s="5" t="s">
        <v>55</v>
      </c>
      <c r="Q26" s="5">
        <v>0</v>
      </c>
      <c r="R26" s="5">
        <v>2</v>
      </c>
      <c r="S26" s="5">
        <f t="shared" si="8"/>
        <v>11</v>
      </c>
      <c r="T26" s="5">
        <f t="shared" si="9"/>
        <v>24</v>
      </c>
      <c r="U26" s="10" t="str">
        <f t="shared" si="10"/>
        <v>11-24</v>
      </c>
    </row>
    <row r="27" spans="1:27" s="22" customFormat="1" x14ac:dyDescent="0.25">
      <c r="A27" s="19">
        <v>22</v>
      </c>
      <c r="B27" s="19" t="s">
        <v>32</v>
      </c>
      <c r="C27" s="20">
        <v>46095</v>
      </c>
      <c r="D27" s="21">
        <v>0.77083333333333304</v>
      </c>
      <c r="E27" s="22" t="s">
        <v>33</v>
      </c>
      <c r="F27" s="4">
        <v>2</v>
      </c>
      <c r="G27" s="22">
        <v>8</v>
      </c>
      <c r="H27" s="22" t="s">
        <v>53</v>
      </c>
      <c r="I27" s="22" t="s">
        <v>64</v>
      </c>
      <c r="J27" s="22" t="s">
        <v>30</v>
      </c>
      <c r="K27" s="22" t="s">
        <v>34</v>
      </c>
      <c r="L27" s="22" t="s">
        <v>23</v>
      </c>
      <c r="M27" s="22" t="s">
        <v>66</v>
      </c>
      <c r="N27" s="22" t="s">
        <v>51</v>
      </c>
      <c r="P27" s="22" t="s">
        <v>45</v>
      </c>
      <c r="Q27" s="22">
        <v>0</v>
      </c>
      <c r="R27" s="22">
        <v>2</v>
      </c>
      <c r="S27" s="22">
        <f t="shared" si="8"/>
        <v>11</v>
      </c>
      <c r="T27" s="22">
        <f t="shared" si="9"/>
        <v>26</v>
      </c>
      <c r="U27" s="19" t="str">
        <f t="shared" si="10"/>
        <v>11-26</v>
      </c>
      <c r="X27" s="22">
        <v>1</v>
      </c>
      <c r="AA27" s="22">
        <v>2</v>
      </c>
    </row>
    <row r="28" spans="1:27" x14ac:dyDescent="0.25">
      <c r="A28" s="10">
        <v>22</v>
      </c>
      <c r="B28" s="10" t="s">
        <v>32</v>
      </c>
      <c r="C28" s="11">
        <v>46095</v>
      </c>
      <c r="D28" s="9">
        <v>0.77083333333333304</v>
      </c>
      <c r="E28" s="5" t="s">
        <v>33</v>
      </c>
      <c r="F28" s="7">
        <v>2</v>
      </c>
      <c r="G28" s="5">
        <v>7</v>
      </c>
      <c r="H28" s="5" t="s">
        <v>53</v>
      </c>
      <c r="I28" s="5" t="s">
        <v>64</v>
      </c>
      <c r="J28" s="5" t="s">
        <v>30</v>
      </c>
      <c r="K28" s="5" t="s">
        <v>34</v>
      </c>
      <c r="L28" s="5" t="s">
        <v>54</v>
      </c>
      <c r="M28" s="5" t="s">
        <v>66</v>
      </c>
      <c r="N28" s="5" t="s">
        <v>39</v>
      </c>
      <c r="P28" s="5" t="s">
        <v>67</v>
      </c>
      <c r="Q28" s="5">
        <v>0</v>
      </c>
      <c r="R28" s="5">
        <v>0</v>
      </c>
      <c r="S28" s="5">
        <f t="shared" si="8"/>
        <v>11</v>
      </c>
      <c r="T28" s="5">
        <f t="shared" si="9"/>
        <v>26</v>
      </c>
      <c r="U28" s="10" t="str">
        <f t="shared" si="10"/>
        <v>11-26</v>
      </c>
    </row>
    <row r="29" spans="1:27" x14ac:dyDescent="0.25">
      <c r="A29" s="10">
        <v>22</v>
      </c>
      <c r="B29" s="10" t="s">
        <v>32</v>
      </c>
      <c r="C29" s="11">
        <v>46095</v>
      </c>
      <c r="D29" s="9">
        <v>0.77083333333333304</v>
      </c>
      <c r="E29" s="5" t="s">
        <v>33</v>
      </c>
      <c r="F29" s="7">
        <v>2</v>
      </c>
      <c r="G29" s="5">
        <v>7</v>
      </c>
      <c r="H29" s="5" t="s">
        <v>21</v>
      </c>
      <c r="I29" s="5" t="s">
        <v>31</v>
      </c>
      <c r="J29" s="5" t="s">
        <v>64</v>
      </c>
      <c r="K29" s="5" t="s">
        <v>30</v>
      </c>
      <c r="L29" s="5" t="s">
        <v>54</v>
      </c>
      <c r="M29" s="5" t="s">
        <v>68</v>
      </c>
      <c r="N29" s="5" t="s">
        <v>51</v>
      </c>
      <c r="P29" s="5" t="s">
        <v>37</v>
      </c>
      <c r="Q29" s="14">
        <v>0</v>
      </c>
      <c r="R29" s="5">
        <v>2</v>
      </c>
      <c r="S29" s="5">
        <f t="shared" si="8"/>
        <v>11</v>
      </c>
      <c r="T29" s="5">
        <f t="shared" si="9"/>
        <v>28</v>
      </c>
      <c r="U29" s="10" t="str">
        <f t="shared" si="10"/>
        <v>11-28</v>
      </c>
      <c r="V29" s="5">
        <v>1</v>
      </c>
    </row>
    <row r="30" spans="1:27" x14ac:dyDescent="0.25">
      <c r="A30" s="10">
        <v>22</v>
      </c>
      <c r="B30" s="10" t="s">
        <v>32</v>
      </c>
      <c r="C30" s="11">
        <v>46095</v>
      </c>
      <c r="D30" s="9">
        <v>0.77083333333333304</v>
      </c>
      <c r="E30" s="5" t="s">
        <v>33</v>
      </c>
      <c r="F30" s="7">
        <v>2</v>
      </c>
      <c r="G30" s="5">
        <v>6</v>
      </c>
      <c r="H30" s="5" t="s">
        <v>21</v>
      </c>
      <c r="I30" s="5" t="s">
        <v>31</v>
      </c>
      <c r="J30" s="5" t="s">
        <v>64</v>
      </c>
      <c r="K30" s="5" t="s">
        <v>30</v>
      </c>
      <c r="L30" s="5" t="s">
        <v>54</v>
      </c>
      <c r="M30" s="5" t="s">
        <v>60</v>
      </c>
      <c r="N30" s="5" t="s">
        <v>41</v>
      </c>
      <c r="P30" s="5" t="s">
        <v>42</v>
      </c>
      <c r="Q30" s="5">
        <v>0</v>
      </c>
      <c r="R30" s="5">
        <v>0</v>
      </c>
      <c r="S30" s="5">
        <f t="shared" si="8"/>
        <v>11</v>
      </c>
      <c r="T30" s="5">
        <f t="shared" si="9"/>
        <v>28</v>
      </c>
      <c r="U30" s="10" t="str">
        <f t="shared" si="10"/>
        <v>11-28</v>
      </c>
    </row>
    <row r="31" spans="1:27" x14ac:dyDescent="0.25">
      <c r="A31" s="10">
        <v>22</v>
      </c>
      <c r="B31" s="10" t="s">
        <v>32</v>
      </c>
      <c r="C31" s="11">
        <v>46095</v>
      </c>
      <c r="D31" s="9">
        <v>0.77083333333333304</v>
      </c>
      <c r="E31" s="5" t="s">
        <v>33</v>
      </c>
      <c r="F31" s="7">
        <v>2</v>
      </c>
      <c r="G31" s="5">
        <v>5</v>
      </c>
      <c r="H31" s="5" t="s">
        <v>21</v>
      </c>
      <c r="I31" s="5" t="s">
        <v>31</v>
      </c>
      <c r="J31" s="5" t="s">
        <v>22</v>
      </c>
      <c r="K31" s="5" t="s">
        <v>30</v>
      </c>
      <c r="L31" s="5" t="s">
        <v>54</v>
      </c>
      <c r="M31" s="5" t="s">
        <v>65</v>
      </c>
      <c r="N31" s="5" t="s">
        <v>65</v>
      </c>
      <c r="P31" s="5" t="s">
        <v>65</v>
      </c>
      <c r="Q31" s="5">
        <v>0</v>
      </c>
      <c r="R31" s="5">
        <v>3</v>
      </c>
      <c r="S31" s="5">
        <f t="shared" si="8"/>
        <v>11</v>
      </c>
      <c r="T31" s="5">
        <f t="shared" si="9"/>
        <v>31</v>
      </c>
      <c r="U31" s="10" t="str">
        <f t="shared" si="10"/>
        <v>11-31</v>
      </c>
    </row>
    <row r="32" spans="1:27" x14ac:dyDescent="0.25">
      <c r="A32" s="10">
        <v>22</v>
      </c>
      <c r="B32" s="10" t="s">
        <v>32</v>
      </c>
      <c r="C32" s="11">
        <v>46095</v>
      </c>
      <c r="D32" s="9">
        <v>0.77083333333333304</v>
      </c>
      <c r="E32" s="5" t="s">
        <v>33</v>
      </c>
      <c r="F32" s="7">
        <v>2</v>
      </c>
      <c r="G32" s="5">
        <v>5</v>
      </c>
      <c r="H32" s="5" t="s">
        <v>21</v>
      </c>
      <c r="I32" s="5" t="s">
        <v>31</v>
      </c>
      <c r="J32" s="5" t="s">
        <v>22</v>
      </c>
      <c r="K32" s="5" t="s">
        <v>30</v>
      </c>
      <c r="L32" s="5" t="s">
        <v>54</v>
      </c>
      <c r="M32" s="5" t="s">
        <v>66</v>
      </c>
      <c r="N32" s="5" t="s">
        <v>39</v>
      </c>
      <c r="P32" s="5" t="s">
        <v>42</v>
      </c>
      <c r="Q32" s="5">
        <v>0</v>
      </c>
      <c r="R32" s="5">
        <v>0</v>
      </c>
      <c r="S32" s="5">
        <f t="shared" si="8"/>
        <v>11</v>
      </c>
      <c r="T32" s="5">
        <f t="shared" si="9"/>
        <v>31</v>
      </c>
      <c r="U32" s="10" t="str">
        <f t="shared" si="10"/>
        <v>11-31</v>
      </c>
    </row>
    <row r="33" spans="1:26" x14ac:dyDescent="0.25">
      <c r="A33" s="10">
        <v>22</v>
      </c>
      <c r="B33" s="10" t="s">
        <v>32</v>
      </c>
      <c r="C33" s="11">
        <v>46095</v>
      </c>
      <c r="D33" s="9">
        <v>0.77083333333333304</v>
      </c>
      <c r="E33" s="5" t="s">
        <v>33</v>
      </c>
      <c r="F33" s="7">
        <v>2</v>
      </c>
      <c r="G33" s="5">
        <v>5</v>
      </c>
      <c r="H33" s="5" t="s">
        <v>21</v>
      </c>
      <c r="I33" s="5" t="s">
        <v>31</v>
      </c>
      <c r="J33" s="5" t="s">
        <v>22</v>
      </c>
      <c r="K33" s="5" t="s">
        <v>30</v>
      </c>
      <c r="L33" s="5" t="s">
        <v>54</v>
      </c>
      <c r="M33" s="5" t="s">
        <v>66</v>
      </c>
      <c r="N33" s="5" t="s">
        <v>46</v>
      </c>
      <c r="P33" s="5" t="s">
        <v>37</v>
      </c>
      <c r="Q33" s="5">
        <v>1</v>
      </c>
      <c r="R33" s="5">
        <v>0</v>
      </c>
      <c r="S33" s="5">
        <f t="shared" si="8"/>
        <v>12</v>
      </c>
      <c r="T33" s="5">
        <f t="shared" si="9"/>
        <v>31</v>
      </c>
      <c r="U33" s="10" t="str">
        <f t="shared" si="10"/>
        <v>12-31</v>
      </c>
    </row>
    <row r="34" spans="1:26" x14ac:dyDescent="0.25">
      <c r="A34" s="10">
        <v>22</v>
      </c>
      <c r="B34" s="10" t="s">
        <v>32</v>
      </c>
      <c r="C34" s="11">
        <v>46095</v>
      </c>
      <c r="D34" s="9">
        <v>0.77083333333333304</v>
      </c>
      <c r="E34" s="5" t="s">
        <v>33</v>
      </c>
      <c r="F34" s="7">
        <v>2</v>
      </c>
      <c r="G34" s="5">
        <v>4</v>
      </c>
      <c r="H34" s="5" t="s">
        <v>21</v>
      </c>
      <c r="I34" s="5" t="s">
        <v>31</v>
      </c>
      <c r="J34" s="5" t="s">
        <v>22</v>
      </c>
      <c r="K34" s="5" t="s">
        <v>30</v>
      </c>
      <c r="L34" s="5" t="s">
        <v>54</v>
      </c>
      <c r="M34" s="5" t="s">
        <v>35</v>
      </c>
      <c r="N34" s="5" t="s">
        <v>39</v>
      </c>
      <c r="P34" s="5" t="s">
        <v>42</v>
      </c>
      <c r="Q34" s="5">
        <v>0</v>
      </c>
      <c r="R34" s="5">
        <v>0</v>
      </c>
      <c r="S34" s="5">
        <f t="shared" si="8"/>
        <v>12</v>
      </c>
      <c r="T34" s="5">
        <f t="shared" si="9"/>
        <v>31</v>
      </c>
      <c r="U34" s="10" t="str">
        <f t="shared" si="10"/>
        <v>12-31</v>
      </c>
    </row>
    <row r="35" spans="1:26" x14ac:dyDescent="0.25">
      <c r="A35" s="10">
        <v>22</v>
      </c>
      <c r="B35" s="10" t="s">
        <v>32</v>
      </c>
      <c r="C35" s="11">
        <v>46095</v>
      </c>
      <c r="D35" s="9">
        <v>0.77083333333333304</v>
      </c>
      <c r="E35" s="5" t="s">
        <v>33</v>
      </c>
      <c r="F35" s="7">
        <v>2</v>
      </c>
      <c r="G35" s="5">
        <v>3</v>
      </c>
      <c r="H35" s="5" t="s">
        <v>21</v>
      </c>
      <c r="I35" s="5" t="s">
        <v>31</v>
      </c>
      <c r="J35" s="5" t="s">
        <v>22</v>
      </c>
      <c r="K35" s="5" t="s">
        <v>30</v>
      </c>
      <c r="L35" s="5" t="s">
        <v>54</v>
      </c>
      <c r="M35" s="5" t="s">
        <v>69</v>
      </c>
      <c r="N35" s="5" t="s">
        <v>51</v>
      </c>
      <c r="P35" s="5" t="s">
        <v>37</v>
      </c>
      <c r="Q35" s="5">
        <v>0</v>
      </c>
      <c r="R35" s="5">
        <v>2</v>
      </c>
      <c r="S35" s="5">
        <f t="shared" si="8"/>
        <v>12</v>
      </c>
      <c r="T35" s="5">
        <f t="shared" si="9"/>
        <v>33</v>
      </c>
      <c r="U35" s="10" t="str">
        <f t="shared" si="10"/>
        <v>12-33</v>
      </c>
    </row>
    <row r="36" spans="1:26" x14ac:dyDescent="0.25">
      <c r="A36" s="10">
        <v>22</v>
      </c>
      <c r="B36" s="10" t="s">
        <v>32</v>
      </c>
      <c r="C36" s="11">
        <v>46095</v>
      </c>
      <c r="D36" s="9">
        <v>0.77083333333333304</v>
      </c>
      <c r="E36" s="5" t="s">
        <v>33</v>
      </c>
      <c r="F36" s="7">
        <v>2</v>
      </c>
      <c r="G36" s="5">
        <v>3</v>
      </c>
      <c r="H36" s="5" t="s">
        <v>21</v>
      </c>
      <c r="I36" s="5" t="s">
        <v>31</v>
      </c>
      <c r="J36" s="5" t="s">
        <v>22</v>
      </c>
      <c r="K36" s="5" t="s">
        <v>30</v>
      </c>
      <c r="L36" s="5" t="s">
        <v>54</v>
      </c>
      <c r="M36" s="5" t="s">
        <v>63</v>
      </c>
      <c r="N36" s="5" t="s">
        <v>70</v>
      </c>
      <c r="O36" s="5" t="s">
        <v>37</v>
      </c>
      <c r="P36" s="5" t="s">
        <v>48</v>
      </c>
      <c r="Q36" s="5">
        <v>3</v>
      </c>
      <c r="R36" s="5">
        <v>2</v>
      </c>
      <c r="S36" s="5">
        <f t="shared" si="8"/>
        <v>15</v>
      </c>
      <c r="T36" s="5">
        <f t="shared" si="9"/>
        <v>35</v>
      </c>
      <c r="U36" s="10" t="str">
        <f t="shared" si="10"/>
        <v>15-35</v>
      </c>
    </row>
    <row r="37" spans="1:26" x14ac:dyDescent="0.25">
      <c r="A37" s="10">
        <v>22</v>
      </c>
      <c r="B37" s="10" t="s">
        <v>32</v>
      </c>
      <c r="C37" s="11">
        <v>46095</v>
      </c>
      <c r="D37" s="9">
        <v>0.77083333333333304</v>
      </c>
      <c r="E37" s="5" t="s">
        <v>33</v>
      </c>
      <c r="F37" s="7">
        <v>2</v>
      </c>
      <c r="G37" s="5">
        <v>3</v>
      </c>
      <c r="H37" s="5" t="s">
        <v>21</v>
      </c>
      <c r="I37" s="5" t="s">
        <v>31</v>
      </c>
      <c r="J37" s="5" t="s">
        <v>22</v>
      </c>
      <c r="K37" s="5" t="s">
        <v>30</v>
      </c>
      <c r="L37" s="5" t="s">
        <v>54</v>
      </c>
      <c r="M37" s="5" t="s">
        <v>71</v>
      </c>
      <c r="N37" s="5" t="s">
        <v>39</v>
      </c>
      <c r="P37" s="5" t="s">
        <v>57</v>
      </c>
      <c r="Q37" s="5">
        <v>0</v>
      </c>
      <c r="R37" s="5">
        <v>0</v>
      </c>
      <c r="S37" s="5">
        <f t="shared" si="8"/>
        <v>15</v>
      </c>
      <c r="T37" s="5">
        <f t="shared" si="9"/>
        <v>35</v>
      </c>
      <c r="U37" s="10" t="str">
        <f t="shared" si="10"/>
        <v>15-35</v>
      </c>
    </row>
    <row r="38" spans="1:26" x14ac:dyDescent="0.25">
      <c r="A38" s="10">
        <v>22</v>
      </c>
      <c r="B38" s="10" t="s">
        <v>32</v>
      </c>
      <c r="C38" s="11">
        <v>46095</v>
      </c>
      <c r="D38" s="9">
        <v>0.77083333333333304</v>
      </c>
      <c r="E38" s="5" t="s">
        <v>33</v>
      </c>
      <c r="F38" s="7">
        <v>2</v>
      </c>
      <c r="G38" s="5">
        <v>2</v>
      </c>
      <c r="H38" s="5" t="s">
        <v>21</v>
      </c>
      <c r="I38" s="5" t="s">
        <v>31</v>
      </c>
      <c r="J38" s="5" t="s">
        <v>22</v>
      </c>
      <c r="K38" s="5" t="s">
        <v>30</v>
      </c>
      <c r="L38" s="5" t="s">
        <v>54</v>
      </c>
      <c r="M38" s="5" t="s">
        <v>43</v>
      </c>
      <c r="N38" s="5" t="s">
        <v>44</v>
      </c>
      <c r="P38" s="5" t="s">
        <v>57</v>
      </c>
      <c r="Q38" s="5">
        <v>0</v>
      </c>
      <c r="R38" s="5">
        <v>0</v>
      </c>
      <c r="S38" s="5">
        <f t="shared" si="8"/>
        <v>15</v>
      </c>
      <c r="T38" s="5">
        <f t="shared" si="9"/>
        <v>35</v>
      </c>
      <c r="U38" s="10" t="str">
        <f t="shared" si="10"/>
        <v>15-35</v>
      </c>
      <c r="V38" s="5">
        <v>1</v>
      </c>
    </row>
    <row r="39" spans="1:26" s="22" customFormat="1" x14ac:dyDescent="0.25">
      <c r="A39" s="19">
        <v>22</v>
      </c>
      <c r="B39" s="19" t="s">
        <v>32</v>
      </c>
      <c r="C39" s="20">
        <v>46095</v>
      </c>
      <c r="D39" s="21">
        <v>0.77083333333333304</v>
      </c>
      <c r="E39" s="22" t="s">
        <v>33</v>
      </c>
      <c r="F39" s="4">
        <v>2</v>
      </c>
      <c r="G39" s="22">
        <v>2</v>
      </c>
      <c r="H39" s="22" t="s">
        <v>21</v>
      </c>
      <c r="I39" s="22" t="s">
        <v>31</v>
      </c>
      <c r="J39" s="22" t="s">
        <v>22</v>
      </c>
      <c r="K39" s="22" t="s">
        <v>30</v>
      </c>
      <c r="L39" s="22" t="s">
        <v>72</v>
      </c>
      <c r="M39" s="22" t="s">
        <v>73</v>
      </c>
      <c r="N39" s="22" t="s">
        <v>51</v>
      </c>
      <c r="P39" s="22" t="s">
        <v>48</v>
      </c>
      <c r="Q39" s="22">
        <v>0</v>
      </c>
      <c r="R39" s="22">
        <v>2</v>
      </c>
      <c r="S39" s="22">
        <f t="shared" si="8"/>
        <v>15</v>
      </c>
      <c r="T39" s="22">
        <f t="shared" si="9"/>
        <v>37</v>
      </c>
      <c r="U39" s="19" t="str">
        <f t="shared" si="10"/>
        <v>15-37</v>
      </c>
    </row>
    <row r="40" spans="1:26" x14ac:dyDescent="0.25">
      <c r="A40" s="10">
        <v>22</v>
      </c>
      <c r="B40" s="10" t="s">
        <v>32</v>
      </c>
      <c r="C40" s="11">
        <v>46095</v>
      </c>
      <c r="D40" s="9">
        <v>0.77083333333333304</v>
      </c>
      <c r="E40" s="5" t="s">
        <v>33</v>
      </c>
      <c r="F40" s="7">
        <v>2</v>
      </c>
      <c r="G40" s="5">
        <v>2</v>
      </c>
      <c r="H40" s="5" t="s">
        <v>21</v>
      </c>
      <c r="I40" s="5" t="s">
        <v>31</v>
      </c>
      <c r="J40" s="5" t="s">
        <v>22</v>
      </c>
      <c r="K40" s="5" t="s">
        <v>30</v>
      </c>
      <c r="L40" s="5" t="s">
        <v>72</v>
      </c>
      <c r="M40" s="5" t="s">
        <v>63</v>
      </c>
      <c r="N40" s="5" t="s">
        <v>39</v>
      </c>
      <c r="P40" s="5" t="s">
        <v>42</v>
      </c>
      <c r="Q40" s="5">
        <v>0</v>
      </c>
      <c r="R40" s="5">
        <v>0</v>
      </c>
      <c r="S40" s="5">
        <f t="shared" si="8"/>
        <v>15</v>
      </c>
      <c r="T40" s="5">
        <f t="shared" si="9"/>
        <v>37</v>
      </c>
      <c r="U40" s="10" t="str">
        <f t="shared" si="10"/>
        <v>15-37</v>
      </c>
    </row>
    <row r="41" spans="1:26" x14ac:dyDescent="0.25">
      <c r="A41" s="10">
        <v>22</v>
      </c>
      <c r="B41" s="10" t="s">
        <v>32</v>
      </c>
      <c r="C41" s="11">
        <v>46095</v>
      </c>
      <c r="D41" s="9">
        <v>0.77083333333333304</v>
      </c>
      <c r="E41" s="5" t="s">
        <v>33</v>
      </c>
      <c r="F41" s="7">
        <v>2</v>
      </c>
      <c r="G41" s="5">
        <v>1</v>
      </c>
      <c r="H41" s="5" t="s">
        <v>21</v>
      </c>
      <c r="I41" s="5" t="s">
        <v>53</v>
      </c>
      <c r="J41" s="5" t="s">
        <v>22</v>
      </c>
      <c r="K41" s="5" t="s">
        <v>30</v>
      </c>
      <c r="L41" s="5" t="s">
        <v>72</v>
      </c>
      <c r="M41" s="5" t="s">
        <v>47</v>
      </c>
      <c r="N41" s="5" t="s">
        <v>39</v>
      </c>
      <c r="P41" s="5" t="s">
        <v>57</v>
      </c>
      <c r="Q41" s="5">
        <v>0</v>
      </c>
      <c r="R41" s="5">
        <v>0</v>
      </c>
      <c r="S41" s="5">
        <f t="shared" si="8"/>
        <v>15</v>
      </c>
      <c r="T41" s="5">
        <f t="shared" si="9"/>
        <v>37</v>
      </c>
      <c r="U41" s="10" t="str">
        <f t="shared" si="10"/>
        <v>15-37</v>
      </c>
    </row>
    <row r="42" spans="1:26" x14ac:dyDescent="0.25">
      <c r="A42" s="10">
        <v>22</v>
      </c>
      <c r="B42" s="10" t="s">
        <v>32</v>
      </c>
      <c r="C42" s="11">
        <v>46095</v>
      </c>
      <c r="D42" s="9">
        <v>0.77083333333333304</v>
      </c>
      <c r="E42" s="5" t="s">
        <v>33</v>
      </c>
      <c r="F42" s="7">
        <v>2</v>
      </c>
      <c r="G42" s="5">
        <v>1</v>
      </c>
      <c r="H42" s="5" t="s">
        <v>21</v>
      </c>
      <c r="I42" s="5" t="s">
        <v>53</v>
      </c>
      <c r="J42" s="5" t="s">
        <v>22</v>
      </c>
      <c r="K42" s="5" t="s">
        <v>30</v>
      </c>
      <c r="L42" s="5" t="s">
        <v>72</v>
      </c>
      <c r="M42" s="5" t="s">
        <v>47</v>
      </c>
      <c r="N42" s="5" t="s">
        <v>41</v>
      </c>
      <c r="P42" s="5" t="s">
        <v>55</v>
      </c>
      <c r="Q42" s="5">
        <v>0</v>
      </c>
      <c r="R42" s="5">
        <v>0</v>
      </c>
      <c r="S42" s="5">
        <f t="shared" si="8"/>
        <v>15</v>
      </c>
      <c r="T42" s="5">
        <f t="shared" si="9"/>
        <v>37</v>
      </c>
      <c r="U42" s="10" t="str">
        <f t="shared" si="10"/>
        <v>15-37</v>
      </c>
    </row>
    <row r="43" spans="1:26" x14ac:dyDescent="0.25">
      <c r="A43" s="10">
        <v>22</v>
      </c>
      <c r="B43" s="10" t="s">
        <v>32</v>
      </c>
      <c r="C43" s="11">
        <v>46095</v>
      </c>
      <c r="D43" s="9">
        <v>0.77083333333333304</v>
      </c>
      <c r="E43" s="5" t="s">
        <v>33</v>
      </c>
      <c r="F43" s="7">
        <v>2</v>
      </c>
      <c r="G43" s="5">
        <v>1</v>
      </c>
      <c r="H43" s="5" t="s">
        <v>21</v>
      </c>
      <c r="I43" s="5" t="s">
        <v>53</v>
      </c>
      <c r="J43" s="5" t="s">
        <v>22</v>
      </c>
      <c r="K43" s="5" t="s">
        <v>30</v>
      </c>
      <c r="L43" s="5" t="s">
        <v>72</v>
      </c>
      <c r="M43" s="5" t="s">
        <v>43</v>
      </c>
      <c r="N43" s="5" t="s">
        <v>36</v>
      </c>
      <c r="O43" s="5" t="s">
        <v>37</v>
      </c>
      <c r="P43" s="5" t="s">
        <v>74</v>
      </c>
      <c r="Q43" s="5">
        <v>2</v>
      </c>
      <c r="R43" s="5">
        <v>0</v>
      </c>
      <c r="S43" s="5">
        <f t="shared" si="8"/>
        <v>17</v>
      </c>
      <c r="T43" s="5">
        <f t="shared" si="9"/>
        <v>37</v>
      </c>
      <c r="U43" s="10" t="str">
        <f t="shared" si="10"/>
        <v>17-37</v>
      </c>
      <c r="V43" s="5">
        <v>1</v>
      </c>
      <c r="Z43" s="5">
        <v>2</v>
      </c>
    </row>
    <row r="44" spans="1:26" s="26" customFormat="1" x14ac:dyDescent="0.25">
      <c r="A44" s="23">
        <v>22</v>
      </c>
      <c r="B44" s="23" t="s">
        <v>32</v>
      </c>
      <c r="C44" s="24">
        <v>46095</v>
      </c>
      <c r="D44" s="25">
        <v>0.77083333333333304</v>
      </c>
      <c r="E44" s="26" t="s">
        <v>33</v>
      </c>
      <c r="F44" s="7">
        <v>2</v>
      </c>
      <c r="G44" s="26">
        <v>1</v>
      </c>
      <c r="H44" s="26" t="s">
        <v>21</v>
      </c>
      <c r="I44" s="26" t="s">
        <v>53</v>
      </c>
      <c r="J44" s="26" t="s">
        <v>22</v>
      </c>
      <c r="K44" s="26" t="s">
        <v>30</v>
      </c>
      <c r="L44" s="26" t="s">
        <v>72</v>
      </c>
      <c r="M44" s="26" t="s">
        <v>47</v>
      </c>
      <c r="N44" s="26" t="s">
        <v>46</v>
      </c>
      <c r="P44" s="26" t="s">
        <v>57</v>
      </c>
      <c r="Q44" s="26">
        <v>1</v>
      </c>
      <c r="R44" s="26">
        <v>0</v>
      </c>
      <c r="S44" s="5">
        <f t="shared" ref="S44:S69" si="11">S43+Q44</f>
        <v>18</v>
      </c>
      <c r="T44" s="5">
        <f t="shared" ref="T44:T69" si="12">T43+R44</f>
        <v>37</v>
      </c>
      <c r="U44" s="23" t="str">
        <f t="shared" ref="U44" si="13">S44&amp;"-"&amp;T44</f>
        <v>18-37</v>
      </c>
    </row>
    <row r="45" spans="1:26" x14ac:dyDescent="0.25">
      <c r="A45" s="10">
        <v>22</v>
      </c>
      <c r="B45" s="10" t="s">
        <v>32</v>
      </c>
      <c r="C45" s="11">
        <v>46095</v>
      </c>
      <c r="D45" s="9">
        <v>0.77083333333333304</v>
      </c>
      <c r="E45" s="5" t="s">
        <v>33</v>
      </c>
      <c r="F45" s="7">
        <v>2</v>
      </c>
      <c r="G45" s="5">
        <v>0</v>
      </c>
      <c r="H45" s="5" t="s">
        <v>21</v>
      </c>
      <c r="I45" s="5" t="s">
        <v>53</v>
      </c>
      <c r="J45" s="5" t="s">
        <v>22</v>
      </c>
      <c r="K45" s="5" t="s">
        <v>30</v>
      </c>
      <c r="L45" s="5" t="s">
        <v>72</v>
      </c>
      <c r="M45" s="5" t="s">
        <v>38</v>
      </c>
      <c r="N45" s="5" t="s">
        <v>39</v>
      </c>
      <c r="P45" s="5" t="s">
        <v>40</v>
      </c>
      <c r="Q45" s="5">
        <v>0</v>
      </c>
      <c r="R45" s="5">
        <v>2</v>
      </c>
      <c r="S45" s="5">
        <f t="shared" si="11"/>
        <v>18</v>
      </c>
      <c r="T45" s="5">
        <f t="shared" si="12"/>
        <v>39</v>
      </c>
      <c r="U45" s="10" t="str">
        <f t="shared" si="10"/>
        <v>18-39</v>
      </c>
      <c r="V45" s="5">
        <v>1</v>
      </c>
    </row>
    <row r="46" spans="1:26" s="7" customFormat="1" x14ac:dyDescent="0.25">
      <c r="A46" s="27">
        <v>22</v>
      </c>
      <c r="B46" s="27" t="s">
        <v>32</v>
      </c>
      <c r="C46" s="28">
        <v>46095</v>
      </c>
      <c r="D46" s="29">
        <v>0.77083333333333304</v>
      </c>
      <c r="E46" s="7" t="s">
        <v>33</v>
      </c>
      <c r="F46" s="7">
        <v>2</v>
      </c>
      <c r="G46" s="7">
        <v>0</v>
      </c>
      <c r="H46" s="7" t="s">
        <v>21</v>
      </c>
      <c r="I46" s="7" t="s">
        <v>53</v>
      </c>
      <c r="J46" s="7" t="s">
        <v>22</v>
      </c>
      <c r="K46" s="7" t="s">
        <v>30</v>
      </c>
      <c r="L46" s="7" t="s">
        <v>72</v>
      </c>
      <c r="M46" s="7" t="s">
        <v>43</v>
      </c>
      <c r="N46" s="7" t="s">
        <v>41</v>
      </c>
      <c r="P46" s="7" t="s">
        <v>40</v>
      </c>
      <c r="Q46" s="7">
        <v>0</v>
      </c>
      <c r="R46" s="7">
        <v>0</v>
      </c>
      <c r="S46" s="7">
        <f t="shared" si="11"/>
        <v>18</v>
      </c>
      <c r="T46" s="7">
        <f t="shared" si="12"/>
        <v>39</v>
      </c>
      <c r="U46" s="27" t="str">
        <f t="shared" si="10"/>
        <v>18-39</v>
      </c>
    </row>
    <row r="47" spans="1:26" x14ac:dyDescent="0.25">
      <c r="A47" s="10">
        <v>22</v>
      </c>
      <c r="B47" s="10" t="s">
        <v>32</v>
      </c>
      <c r="C47" s="11">
        <v>46095</v>
      </c>
      <c r="D47" s="9">
        <v>0.77083333333333304</v>
      </c>
      <c r="E47" s="5" t="s">
        <v>33</v>
      </c>
      <c r="F47" s="12">
        <v>3</v>
      </c>
      <c r="G47" s="5">
        <v>9</v>
      </c>
      <c r="H47" s="5" t="s">
        <v>21</v>
      </c>
      <c r="I47" s="5" t="s">
        <v>53</v>
      </c>
      <c r="J47" s="5" t="s">
        <v>56</v>
      </c>
      <c r="K47" s="5" t="s">
        <v>34</v>
      </c>
      <c r="L47" s="5" t="s">
        <v>23</v>
      </c>
      <c r="M47" s="5" t="s">
        <v>66</v>
      </c>
      <c r="N47" s="5" t="s">
        <v>39</v>
      </c>
      <c r="P47" s="5" t="s">
        <v>55</v>
      </c>
      <c r="Q47" s="5">
        <v>0</v>
      </c>
      <c r="R47" s="5">
        <v>0</v>
      </c>
      <c r="S47" s="5">
        <f t="shared" si="11"/>
        <v>18</v>
      </c>
      <c r="T47" s="5">
        <f t="shared" si="12"/>
        <v>39</v>
      </c>
      <c r="U47" s="10" t="str">
        <f t="shared" si="10"/>
        <v>18-39</v>
      </c>
    </row>
    <row r="48" spans="1:26" x14ac:dyDescent="0.25">
      <c r="A48" s="10">
        <v>22</v>
      </c>
      <c r="B48" s="10" t="s">
        <v>32</v>
      </c>
      <c r="C48" s="11">
        <v>46095</v>
      </c>
      <c r="D48" s="9">
        <v>0.77083333333333304</v>
      </c>
      <c r="E48" s="5" t="s">
        <v>33</v>
      </c>
      <c r="F48" s="12">
        <v>3</v>
      </c>
      <c r="G48" s="5">
        <v>9</v>
      </c>
      <c r="H48" s="5" t="s">
        <v>21</v>
      </c>
      <c r="I48" s="5" t="s">
        <v>53</v>
      </c>
      <c r="J48" s="5" t="s">
        <v>56</v>
      </c>
      <c r="K48" s="5" t="s">
        <v>34</v>
      </c>
      <c r="L48" s="5" t="s">
        <v>23</v>
      </c>
      <c r="M48" s="5" t="s">
        <v>73</v>
      </c>
      <c r="N48" s="5" t="s">
        <v>39</v>
      </c>
      <c r="P48" s="5" t="s">
        <v>45</v>
      </c>
      <c r="Q48" s="5">
        <v>0</v>
      </c>
      <c r="R48" s="5">
        <v>0</v>
      </c>
      <c r="S48" s="5">
        <f t="shared" si="11"/>
        <v>18</v>
      </c>
      <c r="T48" s="5">
        <f t="shared" si="12"/>
        <v>39</v>
      </c>
      <c r="U48" s="10" t="str">
        <f t="shared" si="10"/>
        <v>18-39</v>
      </c>
    </row>
    <row r="49" spans="1:28" x14ac:dyDescent="0.25">
      <c r="A49" s="10">
        <v>22</v>
      </c>
      <c r="B49" s="10" t="s">
        <v>32</v>
      </c>
      <c r="C49" s="11">
        <v>46095</v>
      </c>
      <c r="D49" s="9">
        <v>0.77083333333333304</v>
      </c>
      <c r="E49" s="5" t="s">
        <v>33</v>
      </c>
      <c r="F49" s="12">
        <v>3</v>
      </c>
      <c r="G49" s="5">
        <v>8</v>
      </c>
      <c r="H49" s="5" t="s">
        <v>21</v>
      </c>
      <c r="I49" s="5" t="s">
        <v>53</v>
      </c>
      <c r="J49" s="5" t="s">
        <v>56</v>
      </c>
      <c r="K49" s="5" t="s">
        <v>34</v>
      </c>
      <c r="L49" s="5" t="s">
        <v>23</v>
      </c>
      <c r="M49" s="5" t="s">
        <v>35</v>
      </c>
      <c r="N49" s="5" t="s">
        <v>39</v>
      </c>
      <c r="P49" s="5" t="s">
        <v>62</v>
      </c>
      <c r="Q49" s="5">
        <v>0</v>
      </c>
      <c r="R49" s="5">
        <v>0</v>
      </c>
      <c r="S49" s="5">
        <f t="shared" si="11"/>
        <v>18</v>
      </c>
      <c r="T49" s="5">
        <f t="shared" si="12"/>
        <v>39</v>
      </c>
      <c r="U49" s="10" t="str">
        <f t="shared" si="10"/>
        <v>18-39</v>
      </c>
      <c r="X49" s="5">
        <v>1</v>
      </c>
    </row>
    <row r="50" spans="1:28" x14ac:dyDescent="0.25">
      <c r="A50" s="10">
        <v>22</v>
      </c>
      <c r="B50" s="10" t="s">
        <v>32</v>
      </c>
      <c r="C50" s="11">
        <v>46095</v>
      </c>
      <c r="D50" s="9">
        <v>0.77083333333333304</v>
      </c>
      <c r="E50" s="5" t="s">
        <v>33</v>
      </c>
      <c r="F50" s="12">
        <v>3</v>
      </c>
      <c r="G50" s="5">
        <v>8</v>
      </c>
      <c r="H50" s="5" t="s">
        <v>21</v>
      </c>
      <c r="I50" s="5" t="s">
        <v>53</v>
      </c>
      <c r="J50" s="5" t="s">
        <v>56</v>
      </c>
      <c r="K50" s="5" t="s">
        <v>34</v>
      </c>
      <c r="L50" s="5" t="s">
        <v>23</v>
      </c>
      <c r="M50" s="5" t="s">
        <v>66</v>
      </c>
      <c r="N50" s="5" t="s">
        <v>44</v>
      </c>
      <c r="P50" s="5" t="s">
        <v>40</v>
      </c>
      <c r="Q50" s="5">
        <v>0</v>
      </c>
      <c r="R50" s="5">
        <v>0</v>
      </c>
      <c r="S50" s="5">
        <f t="shared" si="11"/>
        <v>18</v>
      </c>
      <c r="T50" s="5">
        <f t="shared" si="12"/>
        <v>39</v>
      </c>
      <c r="U50" s="10" t="str">
        <f t="shared" si="10"/>
        <v>18-39</v>
      </c>
    </row>
    <row r="51" spans="1:28" x14ac:dyDescent="0.25">
      <c r="A51" s="10">
        <v>22</v>
      </c>
      <c r="B51" s="10" t="s">
        <v>32</v>
      </c>
      <c r="C51" s="11">
        <v>46095</v>
      </c>
      <c r="D51" s="9">
        <v>0.77083333333333304</v>
      </c>
      <c r="E51" s="5" t="s">
        <v>33</v>
      </c>
      <c r="F51" s="12">
        <v>3</v>
      </c>
      <c r="G51" s="5">
        <v>8</v>
      </c>
      <c r="H51" s="5" t="s">
        <v>21</v>
      </c>
      <c r="I51" s="5" t="s">
        <v>53</v>
      </c>
      <c r="J51" s="5" t="s">
        <v>56</v>
      </c>
      <c r="K51" s="5" t="s">
        <v>34</v>
      </c>
      <c r="L51" s="5" t="s">
        <v>23</v>
      </c>
      <c r="M51" s="5" t="s">
        <v>73</v>
      </c>
      <c r="N51" s="5" t="s">
        <v>39</v>
      </c>
      <c r="P51" s="5" t="s">
        <v>37</v>
      </c>
      <c r="Q51" s="5">
        <v>0</v>
      </c>
      <c r="R51" s="5">
        <v>2</v>
      </c>
      <c r="S51" s="5">
        <f t="shared" si="11"/>
        <v>18</v>
      </c>
      <c r="T51" s="5">
        <f t="shared" si="12"/>
        <v>41</v>
      </c>
      <c r="U51" s="10" t="str">
        <f t="shared" si="10"/>
        <v>18-41</v>
      </c>
    </row>
    <row r="52" spans="1:28" x14ac:dyDescent="0.25">
      <c r="A52" s="10">
        <v>22</v>
      </c>
      <c r="B52" s="10" t="s">
        <v>32</v>
      </c>
      <c r="C52" s="11">
        <v>46095</v>
      </c>
      <c r="D52" s="9">
        <v>0.77083333333333304</v>
      </c>
      <c r="E52" s="5" t="s">
        <v>33</v>
      </c>
      <c r="F52" s="12">
        <v>3</v>
      </c>
      <c r="G52" s="5">
        <v>7</v>
      </c>
      <c r="H52" s="5" t="s">
        <v>21</v>
      </c>
      <c r="I52" s="5" t="s">
        <v>53</v>
      </c>
      <c r="J52" s="5" t="s">
        <v>56</v>
      </c>
      <c r="K52" s="5" t="s">
        <v>34</v>
      </c>
      <c r="L52" s="5" t="s">
        <v>23</v>
      </c>
      <c r="M52" s="5" t="s">
        <v>71</v>
      </c>
      <c r="N52" s="5" t="s">
        <v>36</v>
      </c>
      <c r="O52" s="5" t="s">
        <v>62</v>
      </c>
      <c r="P52" s="5" t="s">
        <v>45</v>
      </c>
      <c r="Q52" s="5">
        <v>2</v>
      </c>
      <c r="R52" s="5">
        <v>0</v>
      </c>
      <c r="S52" s="5">
        <f t="shared" si="11"/>
        <v>20</v>
      </c>
      <c r="T52" s="5">
        <f t="shared" si="12"/>
        <v>41</v>
      </c>
      <c r="U52" s="10" t="str">
        <f t="shared" si="10"/>
        <v>20-41</v>
      </c>
    </row>
    <row r="53" spans="1:28" x14ac:dyDescent="0.25">
      <c r="A53" s="10">
        <v>22</v>
      </c>
      <c r="B53" s="10" t="s">
        <v>32</v>
      </c>
      <c r="C53" s="11">
        <v>46095</v>
      </c>
      <c r="D53" s="9">
        <v>0.77083333333333304</v>
      </c>
      <c r="E53" s="5" t="s">
        <v>33</v>
      </c>
      <c r="F53" s="12">
        <v>3</v>
      </c>
      <c r="G53" s="5">
        <v>7</v>
      </c>
      <c r="H53" s="5" t="s">
        <v>21</v>
      </c>
      <c r="I53" s="5" t="s">
        <v>53</v>
      </c>
      <c r="J53" s="5" t="s">
        <v>56</v>
      </c>
      <c r="K53" s="5" t="s">
        <v>34</v>
      </c>
      <c r="L53" s="5" t="s">
        <v>23</v>
      </c>
      <c r="M53" s="5" t="s">
        <v>35</v>
      </c>
      <c r="N53" s="5" t="s">
        <v>39</v>
      </c>
      <c r="P53" s="5" t="s">
        <v>45</v>
      </c>
      <c r="Q53" s="5">
        <v>0</v>
      </c>
      <c r="R53" s="5">
        <v>2</v>
      </c>
      <c r="S53" s="5">
        <f t="shared" si="11"/>
        <v>20</v>
      </c>
      <c r="T53" s="5">
        <f t="shared" si="12"/>
        <v>43</v>
      </c>
      <c r="U53" s="10" t="str">
        <f t="shared" si="10"/>
        <v>20-43</v>
      </c>
    </row>
    <row r="54" spans="1:28" x14ac:dyDescent="0.25">
      <c r="A54" s="10">
        <v>22</v>
      </c>
      <c r="B54" s="10" t="s">
        <v>32</v>
      </c>
      <c r="C54" s="11">
        <v>46095</v>
      </c>
      <c r="D54" s="9">
        <v>0.77083333333333304</v>
      </c>
      <c r="E54" s="5" t="s">
        <v>33</v>
      </c>
      <c r="F54" s="12">
        <v>3</v>
      </c>
      <c r="G54" s="5">
        <v>6</v>
      </c>
      <c r="H54" s="5" t="s">
        <v>21</v>
      </c>
      <c r="I54" s="5" t="s">
        <v>53</v>
      </c>
      <c r="J54" s="5" t="s">
        <v>56</v>
      </c>
      <c r="K54" s="5" t="s">
        <v>34</v>
      </c>
      <c r="L54" s="5" t="s">
        <v>23</v>
      </c>
      <c r="M54" s="5" t="s">
        <v>50</v>
      </c>
      <c r="N54" s="5" t="s">
        <v>51</v>
      </c>
      <c r="P54" s="5" t="s">
        <v>37</v>
      </c>
      <c r="Q54" s="5">
        <v>0</v>
      </c>
      <c r="R54" s="5">
        <v>2</v>
      </c>
      <c r="S54" s="5">
        <f t="shared" si="11"/>
        <v>20</v>
      </c>
      <c r="T54" s="5">
        <f t="shared" si="12"/>
        <v>45</v>
      </c>
      <c r="U54" s="10" t="str">
        <f t="shared" si="10"/>
        <v>20-45</v>
      </c>
    </row>
    <row r="55" spans="1:28" x14ac:dyDescent="0.25">
      <c r="A55" s="10">
        <v>22</v>
      </c>
      <c r="B55" s="10" t="s">
        <v>32</v>
      </c>
      <c r="C55" s="11">
        <v>46095</v>
      </c>
      <c r="D55" s="9">
        <v>0.77083333333333304</v>
      </c>
      <c r="E55" s="5" t="s">
        <v>33</v>
      </c>
      <c r="F55" s="12">
        <v>3</v>
      </c>
      <c r="G55" s="5">
        <v>6</v>
      </c>
      <c r="H55" s="5" t="s">
        <v>21</v>
      </c>
      <c r="I55" s="5" t="s">
        <v>53</v>
      </c>
      <c r="J55" s="5" t="s">
        <v>56</v>
      </c>
      <c r="K55" s="5" t="s">
        <v>34</v>
      </c>
      <c r="L55" s="5" t="s">
        <v>23</v>
      </c>
      <c r="M55" s="5" t="s">
        <v>38</v>
      </c>
      <c r="N55" s="5" t="s">
        <v>51</v>
      </c>
      <c r="P55" s="5" t="s">
        <v>40</v>
      </c>
      <c r="Q55" s="5">
        <v>0</v>
      </c>
      <c r="R55" s="5">
        <v>0</v>
      </c>
      <c r="S55" s="5">
        <f t="shared" si="11"/>
        <v>20</v>
      </c>
      <c r="T55" s="5">
        <f t="shared" si="12"/>
        <v>45</v>
      </c>
      <c r="U55" s="10" t="str">
        <f t="shared" si="10"/>
        <v>20-45</v>
      </c>
    </row>
    <row r="56" spans="1:28" x14ac:dyDescent="0.25">
      <c r="A56" s="10">
        <v>22</v>
      </c>
      <c r="B56" s="10" t="s">
        <v>32</v>
      </c>
      <c r="C56" s="11">
        <v>46095</v>
      </c>
      <c r="D56" s="9">
        <v>0.77083333333333304</v>
      </c>
      <c r="E56" s="5" t="s">
        <v>33</v>
      </c>
      <c r="F56" s="12">
        <v>3</v>
      </c>
      <c r="G56" s="5">
        <v>5</v>
      </c>
      <c r="H56" s="5" t="s">
        <v>21</v>
      </c>
      <c r="I56" s="5" t="s">
        <v>53</v>
      </c>
      <c r="J56" s="5" t="s">
        <v>56</v>
      </c>
      <c r="K56" s="5" t="s">
        <v>34</v>
      </c>
      <c r="L56" s="5" t="s">
        <v>23</v>
      </c>
      <c r="M56" s="5" t="s">
        <v>60</v>
      </c>
      <c r="N56" s="5" t="s">
        <v>39</v>
      </c>
      <c r="P56" s="5" t="s">
        <v>37</v>
      </c>
      <c r="Q56" s="5">
        <v>0</v>
      </c>
      <c r="R56" s="5">
        <v>0</v>
      </c>
      <c r="S56" s="5">
        <f t="shared" si="11"/>
        <v>20</v>
      </c>
      <c r="T56" s="5">
        <f t="shared" si="12"/>
        <v>45</v>
      </c>
      <c r="U56" s="10" t="str">
        <f t="shared" si="10"/>
        <v>20-45</v>
      </c>
    </row>
    <row r="57" spans="1:28" x14ac:dyDescent="0.25">
      <c r="A57" s="10">
        <v>22</v>
      </c>
      <c r="B57" s="10" t="s">
        <v>32</v>
      </c>
      <c r="C57" s="11">
        <v>46095</v>
      </c>
      <c r="D57" s="9">
        <v>0.77083333333333304</v>
      </c>
      <c r="E57" s="5" t="s">
        <v>33</v>
      </c>
      <c r="F57" s="12">
        <v>3</v>
      </c>
      <c r="G57" s="5">
        <v>5</v>
      </c>
      <c r="H57" s="5" t="s">
        <v>21</v>
      </c>
      <c r="I57" s="5" t="s">
        <v>31</v>
      </c>
      <c r="J57" s="5" t="s">
        <v>56</v>
      </c>
      <c r="K57" s="5" t="s">
        <v>34</v>
      </c>
      <c r="L57" s="5" t="s">
        <v>23</v>
      </c>
      <c r="M57" s="5" t="s">
        <v>63</v>
      </c>
      <c r="N57" s="5" t="s">
        <v>39</v>
      </c>
      <c r="P57" s="5" t="s">
        <v>40</v>
      </c>
      <c r="Q57" s="5">
        <v>0</v>
      </c>
      <c r="R57" s="5">
        <v>2</v>
      </c>
      <c r="S57" s="5">
        <f t="shared" si="11"/>
        <v>20</v>
      </c>
      <c r="T57" s="5">
        <f t="shared" si="12"/>
        <v>47</v>
      </c>
      <c r="U57" s="10" t="str">
        <f t="shared" si="10"/>
        <v>20-47</v>
      </c>
    </row>
    <row r="58" spans="1:28" x14ac:dyDescent="0.25">
      <c r="A58" s="10">
        <v>22</v>
      </c>
      <c r="B58" s="10" t="s">
        <v>32</v>
      </c>
      <c r="C58" s="11">
        <v>46095</v>
      </c>
      <c r="D58" s="9">
        <v>0.77083333333333304</v>
      </c>
      <c r="E58" s="5" t="s">
        <v>33</v>
      </c>
      <c r="F58" s="12">
        <v>3</v>
      </c>
      <c r="G58" s="5">
        <v>4</v>
      </c>
      <c r="H58" s="5" t="s">
        <v>21</v>
      </c>
      <c r="I58" s="5" t="s">
        <v>31</v>
      </c>
      <c r="J58" s="5" t="s">
        <v>56</v>
      </c>
      <c r="K58" s="5" t="s">
        <v>34</v>
      </c>
      <c r="L58" s="5" t="s">
        <v>23</v>
      </c>
      <c r="M58" s="5" t="s">
        <v>52</v>
      </c>
      <c r="N58" s="5" t="s">
        <v>51</v>
      </c>
      <c r="P58" s="5" t="s">
        <v>48</v>
      </c>
      <c r="Q58" s="5">
        <v>0</v>
      </c>
      <c r="R58" s="5">
        <v>0</v>
      </c>
      <c r="S58" s="5">
        <f t="shared" si="11"/>
        <v>20</v>
      </c>
      <c r="T58" s="5">
        <f t="shared" si="12"/>
        <v>47</v>
      </c>
      <c r="U58" s="10" t="str">
        <f t="shared" si="10"/>
        <v>20-47</v>
      </c>
    </row>
    <row r="59" spans="1:28" x14ac:dyDescent="0.25">
      <c r="A59" s="10">
        <v>22</v>
      </c>
      <c r="B59" s="10" t="s">
        <v>32</v>
      </c>
      <c r="C59" s="11">
        <v>46095</v>
      </c>
      <c r="D59" s="9">
        <v>0.77083333333333304</v>
      </c>
      <c r="E59" s="5" t="s">
        <v>33</v>
      </c>
      <c r="F59" s="12">
        <v>3</v>
      </c>
      <c r="G59" s="5">
        <v>3</v>
      </c>
      <c r="H59" s="5" t="s">
        <v>21</v>
      </c>
      <c r="I59" s="5" t="s">
        <v>31</v>
      </c>
      <c r="J59" s="5" t="s">
        <v>56</v>
      </c>
      <c r="K59" s="5" t="s">
        <v>30</v>
      </c>
      <c r="L59" s="5" t="s">
        <v>23</v>
      </c>
      <c r="M59" s="5" t="s">
        <v>47</v>
      </c>
      <c r="N59" s="5" t="s">
        <v>41</v>
      </c>
      <c r="P59" s="5" t="s">
        <v>48</v>
      </c>
      <c r="Q59" s="5">
        <v>0</v>
      </c>
      <c r="R59" s="5">
        <v>0</v>
      </c>
      <c r="S59" s="5">
        <f t="shared" si="11"/>
        <v>20</v>
      </c>
      <c r="T59" s="5">
        <f t="shared" si="12"/>
        <v>47</v>
      </c>
      <c r="U59" s="10" t="str">
        <f t="shared" si="10"/>
        <v>20-47</v>
      </c>
    </row>
    <row r="60" spans="1:28" x14ac:dyDescent="0.25">
      <c r="A60" s="10">
        <v>22</v>
      </c>
      <c r="B60" s="10" t="s">
        <v>32</v>
      </c>
      <c r="C60" s="11">
        <v>46095</v>
      </c>
      <c r="D60" s="9">
        <v>0.77083333333333304</v>
      </c>
      <c r="E60" s="5" t="s">
        <v>33</v>
      </c>
      <c r="F60" s="12">
        <v>3</v>
      </c>
      <c r="G60" s="5">
        <v>3</v>
      </c>
      <c r="H60" s="5" t="s">
        <v>53</v>
      </c>
      <c r="I60" s="5" t="s">
        <v>31</v>
      </c>
      <c r="J60" s="5" t="s">
        <v>64</v>
      </c>
      <c r="K60" s="5" t="s">
        <v>30</v>
      </c>
      <c r="L60" s="5" t="s">
        <v>23</v>
      </c>
      <c r="M60" s="5" t="s">
        <v>65</v>
      </c>
      <c r="N60" s="5" t="s">
        <v>65</v>
      </c>
      <c r="Q60" s="5">
        <v>0</v>
      </c>
      <c r="R60" s="14">
        <v>2</v>
      </c>
      <c r="S60" s="5">
        <f t="shared" si="11"/>
        <v>20</v>
      </c>
      <c r="T60" s="5">
        <f t="shared" si="12"/>
        <v>49</v>
      </c>
      <c r="U60" s="10" t="str">
        <f t="shared" si="10"/>
        <v>20-49</v>
      </c>
      <c r="X60" s="5">
        <v>2</v>
      </c>
      <c r="AB60" s="5">
        <v>2</v>
      </c>
    </row>
    <row r="61" spans="1:28" x14ac:dyDescent="0.25">
      <c r="A61" s="10">
        <v>22</v>
      </c>
      <c r="B61" s="10" t="s">
        <v>32</v>
      </c>
      <c r="C61" s="11">
        <v>46095</v>
      </c>
      <c r="D61" s="9">
        <v>0.77083333333333304</v>
      </c>
      <c r="E61" s="5" t="s">
        <v>33</v>
      </c>
      <c r="F61" s="12">
        <v>3</v>
      </c>
      <c r="G61" s="5">
        <v>3</v>
      </c>
      <c r="H61" s="5" t="s">
        <v>53</v>
      </c>
      <c r="I61" s="5" t="s">
        <v>31</v>
      </c>
      <c r="J61" s="5" t="s">
        <v>64</v>
      </c>
      <c r="K61" s="5" t="s">
        <v>30</v>
      </c>
      <c r="L61" s="5" t="s">
        <v>23</v>
      </c>
      <c r="M61" s="5" t="s">
        <v>50</v>
      </c>
      <c r="N61" s="5" t="s">
        <v>51</v>
      </c>
      <c r="P61" s="5" t="s">
        <v>55</v>
      </c>
      <c r="Q61" s="5">
        <v>0</v>
      </c>
      <c r="R61" s="5">
        <v>0</v>
      </c>
      <c r="S61" s="5">
        <f t="shared" si="11"/>
        <v>20</v>
      </c>
      <c r="T61" s="5">
        <f t="shared" si="12"/>
        <v>49</v>
      </c>
      <c r="U61" s="10" t="str">
        <f t="shared" si="10"/>
        <v>20-49</v>
      </c>
    </row>
    <row r="62" spans="1:28" x14ac:dyDescent="0.25">
      <c r="A62" s="10">
        <v>22</v>
      </c>
      <c r="B62" s="10" t="s">
        <v>32</v>
      </c>
      <c r="C62" s="11">
        <v>46095</v>
      </c>
      <c r="D62" s="9">
        <v>0.77083333333333304</v>
      </c>
      <c r="E62" s="5" t="s">
        <v>33</v>
      </c>
      <c r="F62" s="12">
        <v>3</v>
      </c>
      <c r="G62" s="5">
        <v>3</v>
      </c>
      <c r="H62" s="5" t="s">
        <v>53</v>
      </c>
      <c r="I62" s="5" t="s">
        <v>31</v>
      </c>
      <c r="J62" s="5" t="s">
        <v>64</v>
      </c>
      <c r="K62" s="5" t="s">
        <v>30</v>
      </c>
      <c r="L62" s="5" t="s">
        <v>23</v>
      </c>
      <c r="M62" s="5" t="s">
        <v>47</v>
      </c>
      <c r="N62" s="5" t="s">
        <v>46</v>
      </c>
      <c r="P62" s="5" t="s">
        <v>45</v>
      </c>
      <c r="Q62" s="5">
        <v>2</v>
      </c>
      <c r="R62" s="5">
        <v>0</v>
      </c>
      <c r="S62" s="5">
        <f t="shared" si="11"/>
        <v>22</v>
      </c>
      <c r="T62" s="5">
        <f t="shared" si="12"/>
        <v>49</v>
      </c>
      <c r="U62" s="10" t="str">
        <f t="shared" si="10"/>
        <v>22-49</v>
      </c>
    </row>
    <row r="63" spans="1:28" x14ac:dyDescent="0.25">
      <c r="A63" s="10">
        <v>22</v>
      </c>
      <c r="B63" s="10" t="s">
        <v>32</v>
      </c>
      <c r="C63" s="11">
        <v>46095</v>
      </c>
      <c r="D63" s="9">
        <v>0.77083333333333304</v>
      </c>
      <c r="E63" s="5" t="s">
        <v>33</v>
      </c>
      <c r="F63" s="12">
        <v>3</v>
      </c>
      <c r="G63" s="5">
        <v>2</v>
      </c>
      <c r="H63" s="5" t="s">
        <v>31</v>
      </c>
      <c r="I63" s="5" t="s">
        <v>22</v>
      </c>
      <c r="J63" s="5" t="s">
        <v>64</v>
      </c>
      <c r="K63" s="5" t="s">
        <v>30</v>
      </c>
      <c r="L63" s="5" t="s">
        <v>54</v>
      </c>
      <c r="M63" s="5" t="s">
        <v>47</v>
      </c>
      <c r="N63" s="5" t="s">
        <v>39</v>
      </c>
      <c r="P63" s="5" t="s">
        <v>48</v>
      </c>
      <c r="Q63" s="5">
        <v>0</v>
      </c>
      <c r="R63" s="5">
        <v>3</v>
      </c>
      <c r="S63" s="5">
        <f t="shared" si="11"/>
        <v>22</v>
      </c>
      <c r="T63" s="5">
        <f t="shared" si="12"/>
        <v>52</v>
      </c>
      <c r="U63" s="10" t="str">
        <f t="shared" si="10"/>
        <v>22-52</v>
      </c>
    </row>
    <row r="64" spans="1:28" x14ac:dyDescent="0.25">
      <c r="A64" s="10">
        <v>22</v>
      </c>
      <c r="B64" s="10" t="s">
        <v>32</v>
      </c>
      <c r="C64" s="11">
        <v>46095</v>
      </c>
      <c r="D64" s="9">
        <v>0.77083333333333304</v>
      </c>
      <c r="E64" s="5" t="s">
        <v>33</v>
      </c>
      <c r="F64" s="12">
        <v>3</v>
      </c>
      <c r="G64" s="5">
        <v>2</v>
      </c>
      <c r="H64" s="5" t="s">
        <v>31</v>
      </c>
      <c r="I64" s="5" t="s">
        <v>22</v>
      </c>
      <c r="J64" s="5" t="s">
        <v>64</v>
      </c>
      <c r="K64" s="5" t="s">
        <v>30</v>
      </c>
      <c r="L64" s="5" t="s">
        <v>54</v>
      </c>
      <c r="M64" s="5" t="s">
        <v>63</v>
      </c>
      <c r="N64" s="5" t="s">
        <v>39</v>
      </c>
      <c r="P64" s="5" t="s">
        <v>57</v>
      </c>
      <c r="Q64" s="5">
        <v>0</v>
      </c>
      <c r="R64" s="5">
        <v>0</v>
      </c>
      <c r="S64" s="5">
        <f t="shared" si="11"/>
        <v>22</v>
      </c>
      <c r="T64" s="5">
        <f t="shared" si="12"/>
        <v>52</v>
      </c>
      <c r="U64" s="10" t="str">
        <f t="shared" si="10"/>
        <v>22-52</v>
      </c>
    </row>
    <row r="65" spans="1:24" x14ac:dyDescent="0.25">
      <c r="A65" s="10">
        <v>22</v>
      </c>
      <c r="B65" s="10" t="s">
        <v>32</v>
      </c>
      <c r="C65" s="11">
        <v>46095</v>
      </c>
      <c r="D65" s="9">
        <v>0.77083333333333304</v>
      </c>
      <c r="E65" s="5" t="s">
        <v>33</v>
      </c>
      <c r="F65" s="12">
        <v>3</v>
      </c>
      <c r="G65" s="5">
        <v>1</v>
      </c>
      <c r="H65" s="5" t="s">
        <v>31</v>
      </c>
      <c r="I65" s="5" t="s">
        <v>22</v>
      </c>
      <c r="J65" s="5" t="s">
        <v>64</v>
      </c>
      <c r="K65" s="5" t="s">
        <v>30</v>
      </c>
      <c r="L65" s="5" t="s">
        <v>54</v>
      </c>
      <c r="M65" s="15" t="s">
        <v>49</v>
      </c>
      <c r="N65" s="5" t="s">
        <v>39</v>
      </c>
      <c r="P65" s="5" t="s">
        <v>57</v>
      </c>
      <c r="Q65" s="5">
        <v>0</v>
      </c>
      <c r="R65" s="14">
        <v>0</v>
      </c>
      <c r="S65" s="5">
        <f t="shared" si="11"/>
        <v>22</v>
      </c>
      <c r="T65" s="5">
        <f t="shared" si="12"/>
        <v>52</v>
      </c>
      <c r="U65" s="10" t="str">
        <f t="shared" si="10"/>
        <v>22-52</v>
      </c>
    </row>
    <row r="66" spans="1:24" x14ac:dyDescent="0.25">
      <c r="A66" s="10">
        <v>22</v>
      </c>
      <c r="B66" s="10" t="s">
        <v>32</v>
      </c>
      <c r="C66" s="11">
        <v>46095</v>
      </c>
      <c r="D66" s="9">
        <v>0.77083333333333304</v>
      </c>
      <c r="E66" s="5" t="s">
        <v>33</v>
      </c>
      <c r="F66" s="12">
        <v>3</v>
      </c>
      <c r="G66" s="5">
        <v>1</v>
      </c>
      <c r="H66" s="5" t="s">
        <v>31</v>
      </c>
      <c r="I66" s="5" t="s">
        <v>22</v>
      </c>
      <c r="J66" s="5" t="s">
        <v>64</v>
      </c>
      <c r="K66" s="5" t="s">
        <v>30</v>
      </c>
      <c r="L66" s="5" t="s">
        <v>54</v>
      </c>
      <c r="M66" s="5" t="s">
        <v>63</v>
      </c>
      <c r="N66" s="5" t="s">
        <v>44</v>
      </c>
      <c r="P66" s="5" t="s">
        <v>48</v>
      </c>
      <c r="Q66" s="5">
        <v>0</v>
      </c>
      <c r="R66" s="14">
        <v>0</v>
      </c>
      <c r="S66" s="5">
        <f t="shared" si="11"/>
        <v>22</v>
      </c>
      <c r="T66" s="5">
        <f t="shared" si="12"/>
        <v>52</v>
      </c>
      <c r="U66" s="10" t="str">
        <f t="shared" si="10"/>
        <v>22-52</v>
      </c>
    </row>
    <row r="67" spans="1:24" x14ac:dyDescent="0.25">
      <c r="A67" s="10">
        <v>22</v>
      </c>
      <c r="B67" s="10" t="s">
        <v>32</v>
      </c>
      <c r="C67" s="11">
        <v>46095</v>
      </c>
      <c r="D67" s="9">
        <v>0.77083333333333304</v>
      </c>
      <c r="E67" s="5" t="s">
        <v>33</v>
      </c>
      <c r="F67" s="12">
        <v>3</v>
      </c>
      <c r="G67" s="5">
        <v>1</v>
      </c>
      <c r="H67" s="5" t="s">
        <v>31</v>
      </c>
      <c r="I67" s="5" t="s">
        <v>22</v>
      </c>
      <c r="J67" s="5" t="s">
        <v>64</v>
      </c>
      <c r="K67" s="5" t="s">
        <v>30</v>
      </c>
      <c r="L67" s="5" t="s">
        <v>54</v>
      </c>
      <c r="M67" s="5" t="s">
        <v>63</v>
      </c>
      <c r="N67" s="5" t="s">
        <v>51</v>
      </c>
      <c r="P67" s="5" t="s">
        <v>42</v>
      </c>
      <c r="Q67" s="5">
        <v>0</v>
      </c>
      <c r="R67" s="5">
        <v>0</v>
      </c>
      <c r="S67" s="5">
        <f t="shared" si="11"/>
        <v>22</v>
      </c>
      <c r="T67" s="5">
        <f t="shared" si="12"/>
        <v>52</v>
      </c>
      <c r="U67" s="10" t="str">
        <f t="shared" si="10"/>
        <v>22-52</v>
      </c>
    </row>
    <row r="68" spans="1:24" x14ac:dyDescent="0.25">
      <c r="A68" s="10">
        <v>22</v>
      </c>
      <c r="B68" s="10" t="s">
        <v>32</v>
      </c>
      <c r="C68" s="11">
        <v>46095</v>
      </c>
      <c r="D68" s="9">
        <v>0.77083333333333304</v>
      </c>
      <c r="E68" s="5" t="s">
        <v>33</v>
      </c>
      <c r="F68" s="12">
        <v>3</v>
      </c>
      <c r="G68" s="5">
        <v>0</v>
      </c>
      <c r="H68" s="5" t="s">
        <v>31</v>
      </c>
      <c r="I68" s="5" t="s">
        <v>22</v>
      </c>
      <c r="J68" s="5" t="s">
        <v>64</v>
      </c>
      <c r="K68" s="5" t="s">
        <v>30</v>
      </c>
      <c r="L68" s="5" t="s">
        <v>54</v>
      </c>
      <c r="M68" s="5" t="s">
        <v>63</v>
      </c>
      <c r="N68" s="5" t="s">
        <v>39</v>
      </c>
      <c r="P68" s="5" t="s">
        <v>57</v>
      </c>
      <c r="Q68" s="5">
        <v>0</v>
      </c>
      <c r="R68" s="5">
        <v>0</v>
      </c>
      <c r="S68" s="5">
        <f t="shared" si="11"/>
        <v>22</v>
      </c>
      <c r="T68" s="5">
        <f t="shared" si="12"/>
        <v>52</v>
      </c>
      <c r="U68" s="10" t="str">
        <f t="shared" si="10"/>
        <v>22-52</v>
      </c>
      <c r="X68" s="5">
        <v>1</v>
      </c>
    </row>
    <row r="69" spans="1:24" s="33" customFormat="1" x14ac:dyDescent="0.25">
      <c r="A69" s="30">
        <v>22</v>
      </c>
      <c r="B69" s="30" t="s">
        <v>32</v>
      </c>
      <c r="C69" s="31">
        <v>46095</v>
      </c>
      <c r="D69" s="32">
        <v>0.77083333333333304</v>
      </c>
      <c r="E69" s="33" t="s">
        <v>33</v>
      </c>
      <c r="F69" s="33">
        <v>3</v>
      </c>
      <c r="G69" s="33">
        <v>0</v>
      </c>
      <c r="H69" s="33" t="s">
        <v>31</v>
      </c>
      <c r="I69" s="33" t="s">
        <v>22</v>
      </c>
      <c r="J69" s="33" t="s">
        <v>64</v>
      </c>
      <c r="K69" s="33" t="s">
        <v>30</v>
      </c>
      <c r="L69" s="33" t="s">
        <v>54</v>
      </c>
      <c r="M69" s="33" t="s">
        <v>49</v>
      </c>
      <c r="N69" s="33" t="s">
        <v>36</v>
      </c>
      <c r="P69" s="33" t="s">
        <v>48</v>
      </c>
      <c r="Q69" s="33">
        <v>2</v>
      </c>
      <c r="R69" s="33">
        <v>0</v>
      </c>
      <c r="S69" s="33">
        <f t="shared" si="11"/>
        <v>24</v>
      </c>
      <c r="T69" s="33">
        <f t="shared" si="12"/>
        <v>52</v>
      </c>
      <c r="U69" s="30" t="str">
        <f t="shared" si="10"/>
        <v>24-52</v>
      </c>
    </row>
    <row r="70" spans="1:24" x14ac:dyDescent="0.25">
      <c r="A70" s="10">
        <v>22</v>
      </c>
      <c r="B70" s="10" t="s">
        <v>32</v>
      </c>
      <c r="C70" s="11">
        <v>46095</v>
      </c>
      <c r="D70" s="9">
        <v>0.77083333333333304</v>
      </c>
      <c r="E70" s="5" t="s">
        <v>33</v>
      </c>
      <c r="F70" s="6">
        <v>4</v>
      </c>
      <c r="G70" s="5">
        <v>9</v>
      </c>
      <c r="H70" s="5" t="s">
        <v>31</v>
      </c>
      <c r="I70" s="5" t="s">
        <v>22</v>
      </c>
      <c r="J70" s="5" t="s">
        <v>64</v>
      </c>
      <c r="K70" s="5" t="s">
        <v>30</v>
      </c>
      <c r="L70" s="5" t="s">
        <v>72</v>
      </c>
      <c r="M70" s="5" t="s">
        <v>71</v>
      </c>
      <c r="N70" s="5" t="s">
        <v>39</v>
      </c>
      <c r="P70" s="5" t="s">
        <v>42</v>
      </c>
      <c r="Q70" s="5">
        <v>0</v>
      </c>
      <c r="R70" s="5">
        <v>0</v>
      </c>
      <c r="S70" s="5">
        <f>S69+Q70</f>
        <v>24</v>
      </c>
      <c r="T70" s="5">
        <f>T69+R70</f>
        <v>52</v>
      </c>
      <c r="U70" s="10" t="str">
        <f>S70&amp;"-"&amp;T70</f>
        <v>24-52</v>
      </c>
    </row>
    <row r="71" spans="1:24" x14ac:dyDescent="0.25">
      <c r="A71" s="10">
        <v>22</v>
      </c>
      <c r="B71" s="10" t="s">
        <v>32</v>
      </c>
      <c r="C71" s="11">
        <v>46095</v>
      </c>
      <c r="D71" s="9">
        <v>0.77083333333333304</v>
      </c>
      <c r="E71" s="5" t="s">
        <v>33</v>
      </c>
      <c r="F71" s="6">
        <v>4</v>
      </c>
      <c r="G71" s="5">
        <v>9</v>
      </c>
      <c r="H71" s="5" t="s">
        <v>31</v>
      </c>
      <c r="I71" s="5" t="s">
        <v>22</v>
      </c>
      <c r="J71" s="5" t="s">
        <v>64</v>
      </c>
      <c r="K71" s="5" t="s">
        <v>30</v>
      </c>
      <c r="L71" s="5" t="s">
        <v>72</v>
      </c>
      <c r="M71" s="5" t="s">
        <v>63</v>
      </c>
      <c r="N71" s="5" t="s">
        <v>75</v>
      </c>
      <c r="P71" s="5" t="s">
        <v>65</v>
      </c>
      <c r="Q71" s="5">
        <v>0</v>
      </c>
      <c r="R71" s="5">
        <v>0</v>
      </c>
      <c r="S71" s="5">
        <f>S70+Q71</f>
        <v>24</v>
      </c>
      <c r="T71" s="5">
        <f>T70+R71</f>
        <v>52</v>
      </c>
      <c r="U71" s="10" t="str">
        <f>S71&amp;"-"&amp;T71</f>
        <v>24-52</v>
      </c>
    </row>
    <row r="72" spans="1:24" x14ac:dyDescent="0.25">
      <c r="A72" s="10">
        <v>22</v>
      </c>
      <c r="B72" s="10" t="s">
        <v>32</v>
      </c>
      <c r="C72" s="11">
        <v>46095</v>
      </c>
      <c r="D72" s="9">
        <v>0.77083333333333304</v>
      </c>
      <c r="E72" s="5" t="s">
        <v>33</v>
      </c>
      <c r="F72" s="6">
        <v>4</v>
      </c>
      <c r="G72" s="5">
        <v>8</v>
      </c>
      <c r="H72" s="5" t="s">
        <v>31</v>
      </c>
      <c r="I72" s="5" t="s">
        <v>22</v>
      </c>
      <c r="J72" s="5" t="s">
        <v>64</v>
      </c>
      <c r="K72" s="5" t="s">
        <v>30</v>
      </c>
      <c r="L72" s="5" t="s">
        <v>72</v>
      </c>
      <c r="M72" s="5" t="s">
        <v>38</v>
      </c>
      <c r="N72" s="5" t="s">
        <v>39</v>
      </c>
      <c r="P72" s="5" t="s">
        <v>42</v>
      </c>
      <c r="Q72" s="5">
        <v>0</v>
      </c>
      <c r="R72" s="5">
        <v>0</v>
      </c>
      <c r="S72" s="5">
        <f>S71+Q72</f>
        <v>24</v>
      </c>
      <c r="T72" s="5">
        <f>T71+R72</f>
        <v>52</v>
      </c>
      <c r="U72" s="10" t="str">
        <f>S72&amp;"-"&amp;T72</f>
        <v>24-52</v>
      </c>
    </row>
    <row r="73" spans="1:24" s="37" customFormat="1" x14ac:dyDescent="0.25">
      <c r="A73" s="34">
        <v>22</v>
      </c>
      <c r="B73" s="34" t="s">
        <v>32</v>
      </c>
      <c r="C73" s="35">
        <v>46095</v>
      </c>
      <c r="D73" s="36">
        <v>0.77083333333333304</v>
      </c>
      <c r="E73" s="37" t="s">
        <v>33</v>
      </c>
      <c r="F73" s="38">
        <v>4</v>
      </c>
      <c r="G73" s="37">
        <v>8</v>
      </c>
      <c r="H73" s="37" t="s">
        <v>31</v>
      </c>
      <c r="I73" s="37" t="s">
        <v>22</v>
      </c>
      <c r="J73" s="37" t="s">
        <v>64</v>
      </c>
      <c r="K73" s="37" t="s">
        <v>30</v>
      </c>
      <c r="L73" s="37" t="s">
        <v>72</v>
      </c>
      <c r="M73" s="37" t="s">
        <v>38</v>
      </c>
      <c r="N73" s="37" t="s">
        <v>46</v>
      </c>
      <c r="P73" s="37" t="s">
        <v>67</v>
      </c>
      <c r="Q73" s="37">
        <v>2</v>
      </c>
      <c r="R73" s="37">
        <v>0</v>
      </c>
      <c r="S73" s="37">
        <f>S72+Q73</f>
        <v>26</v>
      </c>
      <c r="T73" s="37">
        <f>T72+R73</f>
        <v>52</v>
      </c>
      <c r="U73" s="34" t="str">
        <f>S73&amp;"-"&amp;T73</f>
        <v>26-52</v>
      </c>
      <c r="X73" s="37">
        <v>1</v>
      </c>
    </row>
    <row r="74" spans="1:24" x14ac:dyDescent="0.25">
      <c r="A74" s="10">
        <v>22</v>
      </c>
      <c r="B74" s="10" t="s">
        <v>32</v>
      </c>
      <c r="C74" s="11">
        <v>46095</v>
      </c>
      <c r="D74" s="9">
        <v>0.77083333333333304</v>
      </c>
      <c r="E74" s="5" t="s">
        <v>33</v>
      </c>
      <c r="F74" s="6">
        <v>4</v>
      </c>
      <c r="G74" s="5">
        <v>7</v>
      </c>
      <c r="H74" s="5" t="s">
        <v>21</v>
      </c>
      <c r="I74" s="5" t="s">
        <v>22</v>
      </c>
      <c r="J74" s="5" t="s">
        <v>64</v>
      </c>
      <c r="K74" s="5" t="s">
        <v>34</v>
      </c>
      <c r="L74" s="5" t="s">
        <v>72</v>
      </c>
      <c r="M74" s="5" t="s">
        <v>71</v>
      </c>
      <c r="N74" s="5" t="s">
        <v>41</v>
      </c>
      <c r="P74" s="5" t="s">
        <v>37</v>
      </c>
      <c r="Q74" s="5">
        <v>0</v>
      </c>
      <c r="R74" s="5">
        <v>0</v>
      </c>
      <c r="S74" s="5">
        <f>S73+Q74</f>
        <v>26</v>
      </c>
      <c r="T74" s="5">
        <f>T73+R74</f>
        <v>52</v>
      </c>
      <c r="U74" s="10" t="str">
        <f>S74&amp;"-"&amp;T74</f>
        <v>26-52</v>
      </c>
    </row>
    <row r="75" spans="1:24" x14ac:dyDescent="0.25">
      <c r="A75" s="10">
        <v>22</v>
      </c>
      <c r="B75" s="10" t="s">
        <v>32</v>
      </c>
      <c r="C75" s="11">
        <v>46095</v>
      </c>
      <c r="D75" s="9">
        <v>0.77083333333333304</v>
      </c>
      <c r="E75" s="5" t="s">
        <v>33</v>
      </c>
      <c r="F75" s="6">
        <v>4</v>
      </c>
      <c r="G75" s="5">
        <v>6</v>
      </c>
      <c r="H75" s="5" t="s">
        <v>21</v>
      </c>
      <c r="I75" s="5" t="s">
        <v>53</v>
      </c>
      <c r="J75" s="5" t="s">
        <v>22</v>
      </c>
      <c r="K75" s="5" t="s">
        <v>34</v>
      </c>
      <c r="L75" s="5" t="s">
        <v>72</v>
      </c>
      <c r="M75" s="5" t="s">
        <v>71</v>
      </c>
      <c r="N75" s="5" t="s">
        <v>51</v>
      </c>
      <c r="P75" s="5" t="s">
        <v>40</v>
      </c>
      <c r="Q75" s="5">
        <v>0</v>
      </c>
      <c r="R75" s="5">
        <v>3</v>
      </c>
      <c r="S75" s="5">
        <f>S74+Q75</f>
        <v>26</v>
      </c>
      <c r="T75" s="5">
        <f>T74+R75</f>
        <v>55</v>
      </c>
      <c r="U75" s="10" t="str">
        <f>S75&amp;"-"&amp;T75</f>
        <v>26-55</v>
      </c>
    </row>
    <row r="76" spans="1:24" x14ac:dyDescent="0.25">
      <c r="A76" s="10">
        <v>22</v>
      </c>
      <c r="B76" s="10" t="s">
        <v>32</v>
      </c>
      <c r="C76" s="11">
        <v>46095</v>
      </c>
      <c r="D76" s="9">
        <v>0.77083333333333304</v>
      </c>
      <c r="E76" s="5" t="s">
        <v>33</v>
      </c>
      <c r="F76" s="6">
        <v>4</v>
      </c>
      <c r="G76" s="5">
        <v>6</v>
      </c>
      <c r="H76" s="5" t="s">
        <v>21</v>
      </c>
      <c r="I76" s="5" t="s">
        <v>53</v>
      </c>
      <c r="J76" s="5" t="s">
        <v>22</v>
      </c>
      <c r="K76" s="5" t="s">
        <v>34</v>
      </c>
      <c r="L76" s="5" t="s">
        <v>72</v>
      </c>
      <c r="M76" s="5" t="s">
        <v>38</v>
      </c>
      <c r="N76" s="9" t="s">
        <v>51</v>
      </c>
      <c r="P76" s="5" t="s">
        <v>55</v>
      </c>
      <c r="Q76" s="5">
        <v>0</v>
      </c>
      <c r="R76" s="5">
        <v>0</v>
      </c>
      <c r="S76" s="5">
        <f>S75+Q76</f>
        <v>26</v>
      </c>
      <c r="T76" s="5">
        <f>T75+R76</f>
        <v>55</v>
      </c>
      <c r="U76" s="10" t="str">
        <f>S76&amp;"-"&amp;T76</f>
        <v>26-55</v>
      </c>
      <c r="X76" s="5">
        <v>1</v>
      </c>
    </row>
    <row r="77" spans="1:24" x14ac:dyDescent="0.25">
      <c r="A77" s="10">
        <v>22</v>
      </c>
      <c r="B77" s="10" t="s">
        <v>32</v>
      </c>
      <c r="C77" s="11">
        <v>46095</v>
      </c>
      <c r="D77" s="9">
        <v>0.77083333333333304</v>
      </c>
      <c r="E77" s="5" t="s">
        <v>33</v>
      </c>
      <c r="F77" s="6">
        <v>4</v>
      </c>
      <c r="G77" s="5">
        <v>6</v>
      </c>
      <c r="H77" s="5" t="s">
        <v>21</v>
      </c>
      <c r="I77" s="5" t="s">
        <v>53</v>
      </c>
      <c r="J77" s="5" t="s">
        <v>22</v>
      </c>
      <c r="K77" s="5" t="s">
        <v>34</v>
      </c>
      <c r="L77" s="5" t="s">
        <v>72</v>
      </c>
      <c r="M77" s="5" t="s">
        <v>71</v>
      </c>
      <c r="N77" s="5" t="s">
        <v>44</v>
      </c>
      <c r="P77" s="5" t="s">
        <v>74</v>
      </c>
      <c r="Q77" s="5">
        <v>0</v>
      </c>
      <c r="R77" s="5">
        <v>0</v>
      </c>
      <c r="S77" s="5">
        <f>S76+Q77</f>
        <v>26</v>
      </c>
      <c r="T77" s="5">
        <f>T76+R77</f>
        <v>55</v>
      </c>
      <c r="U77" s="10" t="str">
        <f>S77&amp;"-"&amp;T77</f>
        <v>26-55</v>
      </c>
    </row>
    <row r="78" spans="1:24" x14ac:dyDescent="0.25">
      <c r="A78" s="10">
        <v>22</v>
      </c>
      <c r="B78" s="10" t="s">
        <v>32</v>
      </c>
      <c r="C78" s="11">
        <v>46095</v>
      </c>
      <c r="D78" s="9">
        <v>0.77083333333333304</v>
      </c>
      <c r="E78" s="5" t="s">
        <v>33</v>
      </c>
      <c r="F78" s="6">
        <v>4</v>
      </c>
      <c r="G78" s="5">
        <v>5</v>
      </c>
      <c r="H78" s="5" t="s">
        <v>21</v>
      </c>
      <c r="I78" s="5" t="s">
        <v>53</v>
      </c>
      <c r="J78" s="5" t="s">
        <v>22</v>
      </c>
      <c r="K78" s="5" t="s">
        <v>34</v>
      </c>
      <c r="L78" s="5" t="s">
        <v>72</v>
      </c>
      <c r="M78" s="5" t="s">
        <v>73</v>
      </c>
      <c r="N78" s="5" t="s">
        <v>41</v>
      </c>
      <c r="P78" s="5" t="s">
        <v>37</v>
      </c>
      <c r="Q78" s="5">
        <v>0</v>
      </c>
      <c r="R78" s="5">
        <v>0</v>
      </c>
      <c r="S78" s="5">
        <f>S77+Q78</f>
        <v>26</v>
      </c>
      <c r="T78" s="5">
        <f>T77+R78</f>
        <v>55</v>
      </c>
      <c r="U78" s="10" t="str">
        <f>S78&amp;"-"&amp;T78</f>
        <v>26-55</v>
      </c>
    </row>
    <row r="79" spans="1:24" x14ac:dyDescent="0.25">
      <c r="A79" s="10">
        <v>22</v>
      </c>
      <c r="B79" s="10" t="s">
        <v>32</v>
      </c>
      <c r="C79" s="11">
        <v>46095</v>
      </c>
      <c r="D79" s="9">
        <v>0.77083333333333304</v>
      </c>
      <c r="E79" s="5" t="s">
        <v>33</v>
      </c>
      <c r="F79" s="6">
        <v>4</v>
      </c>
      <c r="G79" s="5">
        <v>5</v>
      </c>
      <c r="H79" s="5" t="s">
        <v>21</v>
      </c>
      <c r="I79" s="5" t="s">
        <v>53</v>
      </c>
      <c r="J79" s="5" t="s">
        <v>22</v>
      </c>
      <c r="K79" s="5" t="s">
        <v>34</v>
      </c>
      <c r="L79" s="5" t="s">
        <v>23</v>
      </c>
      <c r="M79" s="5" t="s">
        <v>66</v>
      </c>
      <c r="N79" s="5" t="s">
        <v>39</v>
      </c>
      <c r="P79" s="5" t="s">
        <v>55</v>
      </c>
      <c r="Q79" s="5">
        <v>0</v>
      </c>
      <c r="R79" s="5">
        <v>0</v>
      </c>
      <c r="S79" s="5">
        <f>S78+Q79</f>
        <v>26</v>
      </c>
      <c r="T79" s="5">
        <f>T78+R79</f>
        <v>55</v>
      </c>
      <c r="U79" s="10" t="str">
        <f>S79&amp;"-"&amp;T79</f>
        <v>26-55</v>
      </c>
      <c r="V79" s="5">
        <v>1</v>
      </c>
    </row>
    <row r="80" spans="1:24" x14ac:dyDescent="0.25">
      <c r="A80" s="10">
        <v>22</v>
      </c>
      <c r="B80" s="10" t="s">
        <v>32</v>
      </c>
      <c r="C80" s="11">
        <v>46095</v>
      </c>
      <c r="D80" s="9">
        <v>0.77083333333333304</v>
      </c>
      <c r="E80" s="5" t="s">
        <v>33</v>
      </c>
      <c r="F80" s="6">
        <v>4</v>
      </c>
      <c r="G80" s="5">
        <v>5</v>
      </c>
      <c r="H80" s="5" t="s">
        <v>21</v>
      </c>
      <c r="I80" s="5" t="s">
        <v>53</v>
      </c>
      <c r="J80" s="5" t="s">
        <v>22</v>
      </c>
      <c r="K80" s="5" t="s">
        <v>34</v>
      </c>
      <c r="L80" s="5" t="s">
        <v>23</v>
      </c>
      <c r="M80" s="5" t="s">
        <v>43</v>
      </c>
      <c r="N80" s="5" t="s">
        <v>51</v>
      </c>
      <c r="P80" s="5" t="s">
        <v>45</v>
      </c>
      <c r="Q80" s="5">
        <v>0</v>
      </c>
      <c r="R80" s="14">
        <v>0</v>
      </c>
      <c r="S80" s="5">
        <f>S79+Q80</f>
        <v>26</v>
      </c>
      <c r="T80" s="5">
        <f>T79+R80</f>
        <v>55</v>
      </c>
      <c r="U80" s="10" t="str">
        <f>S80&amp;"-"&amp;T80</f>
        <v>26-55</v>
      </c>
    </row>
    <row r="81" spans="1:27" x14ac:dyDescent="0.25">
      <c r="A81" s="10">
        <v>22</v>
      </c>
      <c r="B81" s="10" t="s">
        <v>32</v>
      </c>
      <c r="C81" s="11">
        <v>46095</v>
      </c>
      <c r="D81" s="9">
        <v>0.77083333333333304</v>
      </c>
      <c r="E81" s="5" t="s">
        <v>33</v>
      </c>
      <c r="F81" s="6">
        <v>4</v>
      </c>
      <c r="G81" s="5">
        <v>4</v>
      </c>
      <c r="H81" s="5" t="s">
        <v>21</v>
      </c>
      <c r="I81" s="5" t="s">
        <v>53</v>
      </c>
      <c r="J81" s="5" t="s">
        <v>22</v>
      </c>
      <c r="K81" s="5" t="s">
        <v>34</v>
      </c>
      <c r="L81" s="5" t="s">
        <v>23</v>
      </c>
      <c r="M81" s="5" t="s">
        <v>66</v>
      </c>
      <c r="N81" s="5" t="s">
        <v>44</v>
      </c>
      <c r="P81" s="5" t="s">
        <v>45</v>
      </c>
      <c r="Q81" s="5">
        <v>0</v>
      </c>
      <c r="R81" s="5">
        <v>0</v>
      </c>
      <c r="S81" s="5">
        <f>S80+Q81</f>
        <v>26</v>
      </c>
      <c r="T81" s="5">
        <f>T80+R81</f>
        <v>55</v>
      </c>
      <c r="U81" s="10" t="str">
        <f>S81&amp;"-"&amp;T81</f>
        <v>26-55</v>
      </c>
    </row>
    <row r="82" spans="1:27" x14ac:dyDescent="0.25">
      <c r="A82" s="10">
        <v>22</v>
      </c>
      <c r="B82" s="10" t="s">
        <v>32</v>
      </c>
      <c r="C82" s="11">
        <v>46095</v>
      </c>
      <c r="D82" s="9">
        <v>0.77083333333333304</v>
      </c>
      <c r="E82" s="5" t="s">
        <v>33</v>
      </c>
      <c r="F82" s="6">
        <v>4</v>
      </c>
      <c r="G82" s="5">
        <v>4</v>
      </c>
      <c r="H82" s="5" t="s">
        <v>21</v>
      </c>
      <c r="I82" s="5" t="s">
        <v>53</v>
      </c>
      <c r="J82" s="5" t="s">
        <v>22</v>
      </c>
      <c r="K82" s="5" t="s">
        <v>34</v>
      </c>
      <c r="L82" s="5" t="s">
        <v>23</v>
      </c>
      <c r="M82" s="5" t="s">
        <v>76</v>
      </c>
      <c r="N82" s="5" t="s">
        <v>39</v>
      </c>
      <c r="P82" s="5" t="s">
        <v>40</v>
      </c>
      <c r="Q82" s="5">
        <v>0</v>
      </c>
      <c r="R82" s="5">
        <v>0</v>
      </c>
      <c r="S82" s="5">
        <f>S81+Q82</f>
        <v>26</v>
      </c>
      <c r="T82" s="5">
        <f>T81+R82</f>
        <v>55</v>
      </c>
      <c r="U82" s="10" t="str">
        <f>S82&amp;"-"&amp;T82</f>
        <v>26-55</v>
      </c>
    </row>
    <row r="83" spans="1:27" x14ac:dyDescent="0.25">
      <c r="A83" s="10">
        <v>22</v>
      </c>
      <c r="B83" s="10" t="s">
        <v>32</v>
      </c>
      <c r="C83" s="11">
        <v>46095</v>
      </c>
      <c r="D83" s="9">
        <v>0.77083333333333304</v>
      </c>
      <c r="E83" s="5" t="s">
        <v>33</v>
      </c>
      <c r="F83" s="6">
        <v>4</v>
      </c>
      <c r="G83" s="5">
        <v>4</v>
      </c>
      <c r="H83" s="5" t="s">
        <v>21</v>
      </c>
      <c r="I83" s="5" t="s">
        <v>53</v>
      </c>
      <c r="J83" s="5" t="s">
        <v>22</v>
      </c>
      <c r="K83" s="5" t="s">
        <v>34</v>
      </c>
      <c r="L83" s="5" t="s">
        <v>23</v>
      </c>
      <c r="M83" s="5" t="s">
        <v>43</v>
      </c>
      <c r="N83" s="5" t="s">
        <v>36</v>
      </c>
      <c r="P83" s="5" t="s">
        <v>37</v>
      </c>
      <c r="Q83" s="5">
        <v>2</v>
      </c>
      <c r="R83" s="5">
        <v>0</v>
      </c>
      <c r="S83" s="5">
        <f>S82+Q83</f>
        <v>28</v>
      </c>
      <c r="T83" s="5">
        <f>T82+R83</f>
        <v>55</v>
      </c>
      <c r="U83" s="10" t="str">
        <f>S83&amp;"-"&amp;T83</f>
        <v>28-55</v>
      </c>
      <c r="V83" s="5">
        <v>1</v>
      </c>
      <c r="Z83" s="5">
        <v>2</v>
      </c>
    </row>
    <row r="84" spans="1:27" x14ac:dyDescent="0.25">
      <c r="A84" s="10">
        <v>22</v>
      </c>
      <c r="B84" s="10" t="s">
        <v>32</v>
      </c>
      <c r="C84" s="11">
        <v>46095</v>
      </c>
      <c r="D84" s="9">
        <v>0.77083333333333304</v>
      </c>
      <c r="E84" s="5" t="s">
        <v>33</v>
      </c>
      <c r="F84" s="6">
        <v>4</v>
      </c>
      <c r="G84" s="5">
        <v>3</v>
      </c>
      <c r="H84" s="5" t="s">
        <v>21</v>
      </c>
      <c r="I84" s="5" t="s">
        <v>53</v>
      </c>
      <c r="J84" s="5" t="s">
        <v>22</v>
      </c>
      <c r="K84" s="5" t="s">
        <v>34</v>
      </c>
      <c r="L84" s="5" t="s">
        <v>23</v>
      </c>
      <c r="M84" s="5" t="s">
        <v>35</v>
      </c>
      <c r="N84" s="5" t="s">
        <v>39</v>
      </c>
      <c r="P84" s="5" t="s">
        <v>45</v>
      </c>
      <c r="Q84" s="5">
        <v>0</v>
      </c>
      <c r="R84" s="5">
        <v>0</v>
      </c>
      <c r="S84" s="5">
        <f>S83+Q84</f>
        <v>28</v>
      </c>
      <c r="T84" s="5">
        <f>T83+R84</f>
        <v>55</v>
      </c>
      <c r="U84" s="10" t="str">
        <f>S84&amp;"-"&amp;T84</f>
        <v>28-55</v>
      </c>
      <c r="X84" s="5">
        <v>1</v>
      </c>
    </row>
    <row r="85" spans="1:27" x14ac:dyDescent="0.25">
      <c r="A85" s="10">
        <v>22</v>
      </c>
      <c r="B85" s="10" t="s">
        <v>32</v>
      </c>
      <c r="C85" s="11">
        <v>46095</v>
      </c>
      <c r="D85" s="9">
        <v>0.77083333333333304</v>
      </c>
      <c r="E85" s="5" t="s">
        <v>33</v>
      </c>
      <c r="F85" s="6">
        <v>4</v>
      </c>
      <c r="G85" s="5">
        <v>3</v>
      </c>
      <c r="H85" s="5" t="s">
        <v>21</v>
      </c>
      <c r="I85" s="5" t="s">
        <v>53</v>
      </c>
      <c r="J85" s="5" t="s">
        <v>30</v>
      </c>
      <c r="K85" s="5" t="s">
        <v>34</v>
      </c>
      <c r="L85" s="5" t="s">
        <v>23</v>
      </c>
      <c r="M85" s="5" t="s">
        <v>52</v>
      </c>
      <c r="N85" s="5" t="s">
        <v>51</v>
      </c>
      <c r="P85" s="5" t="s">
        <v>37</v>
      </c>
      <c r="Q85" s="5">
        <v>0</v>
      </c>
      <c r="R85" s="5">
        <v>0</v>
      </c>
      <c r="S85" s="5">
        <f>S84+Q85</f>
        <v>28</v>
      </c>
      <c r="T85" s="5">
        <f>T84+R85</f>
        <v>55</v>
      </c>
      <c r="U85" s="10" t="str">
        <f>S85&amp;"-"&amp;T85</f>
        <v>28-55</v>
      </c>
    </row>
    <row r="86" spans="1:27" x14ac:dyDescent="0.25">
      <c r="A86" s="10">
        <v>22</v>
      </c>
      <c r="B86" s="10" t="s">
        <v>32</v>
      </c>
      <c r="C86" s="11">
        <v>46095</v>
      </c>
      <c r="D86" s="9">
        <v>0.77083333333333304</v>
      </c>
      <c r="E86" s="5" t="s">
        <v>33</v>
      </c>
      <c r="F86" s="6">
        <v>4</v>
      </c>
      <c r="G86" s="5">
        <v>2</v>
      </c>
      <c r="H86" s="5" t="s">
        <v>21</v>
      </c>
      <c r="I86" s="5" t="s">
        <v>53</v>
      </c>
      <c r="J86" s="5" t="s">
        <v>30</v>
      </c>
      <c r="K86" s="5" t="s">
        <v>34</v>
      </c>
      <c r="L86" s="5" t="s">
        <v>23</v>
      </c>
      <c r="M86" s="5" t="s">
        <v>47</v>
      </c>
      <c r="N86" s="5" t="s">
        <v>36</v>
      </c>
      <c r="P86" s="5" t="s">
        <v>40</v>
      </c>
      <c r="Q86" s="5">
        <v>2</v>
      </c>
      <c r="R86" s="5">
        <v>2</v>
      </c>
      <c r="S86" s="5">
        <f>S85+Q86</f>
        <v>30</v>
      </c>
      <c r="T86" s="5">
        <f>T85+R86</f>
        <v>57</v>
      </c>
      <c r="U86" s="10" t="str">
        <f>S86&amp;"-"&amp;T86</f>
        <v>30-57</v>
      </c>
    </row>
    <row r="87" spans="1:27" x14ac:dyDescent="0.25">
      <c r="A87" s="10">
        <v>22</v>
      </c>
      <c r="B87" s="10" t="s">
        <v>32</v>
      </c>
      <c r="C87" s="11">
        <v>46095</v>
      </c>
      <c r="D87" s="9">
        <v>0.77083333333333304</v>
      </c>
      <c r="E87" s="5" t="s">
        <v>33</v>
      </c>
      <c r="F87" s="6">
        <v>4</v>
      </c>
      <c r="G87" s="5">
        <v>2</v>
      </c>
      <c r="H87" s="5" t="s">
        <v>21</v>
      </c>
      <c r="I87" s="5" t="s">
        <v>53</v>
      </c>
      <c r="J87" s="5" t="s">
        <v>30</v>
      </c>
      <c r="K87" s="5" t="s">
        <v>34</v>
      </c>
      <c r="L87" s="5" t="s">
        <v>23</v>
      </c>
      <c r="M87" s="5" t="s">
        <v>52</v>
      </c>
      <c r="N87" s="5" t="s">
        <v>39</v>
      </c>
      <c r="P87" s="5" t="s">
        <v>55</v>
      </c>
      <c r="Q87" s="5">
        <v>0</v>
      </c>
      <c r="R87" s="5">
        <v>0</v>
      </c>
      <c r="S87" s="5">
        <f>S86+Q87</f>
        <v>30</v>
      </c>
      <c r="T87" s="5">
        <f>T86+R87</f>
        <v>57</v>
      </c>
      <c r="U87" s="10" t="str">
        <f>S87&amp;"-"&amp;T87</f>
        <v>30-57</v>
      </c>
    </row>
    <row r="88" spans="1:27" x14ac:dyDescent="0.25">
      <c r="A88" s="10">
        <v>22</v>
      </c>
      <c r="B88" s="10" t="s">
        <v>32</v>
      </c>
      <c r="C88" s="11">
        <v>46095</v>
      </c>
      <c r="D88" s="9">
        <v>0.77083333333333304</v>
      </c>
      <c r="E88" s="5" t="s">
        <v>33</v>
      </c>
      <c r="F88" s="6">
        <v>4</v>
      </c>
      <c r="G88" s="5">
        <v>2</v>
      </c>
      <c r="H88" s="5" t="s">
        <v>21</v>
      </c>
      <c r="I88" s="5" t="s">
        <v>53</v>
      </c>
      <c r="J88" s="5" t="s">
        <v>30</v>
      </c>
      <c r="K88" s="5" t="s">
        <v>34</v>
      </c>
      <c r="L88" s="5" t="s">
        <v>23</v>
      </c>
      <c r="M88" s="5" t="s">
        <v>60</v>
      </c>
      <c r="N88" s="5" t="s">
        <v>39</v>
      </c>
      <c r="P88" s="5" t="s">
        <v>45</v>
      </c>
      <c r="Q88" s="5">
        <v>0</v>
      </c>
      <c r="R88" s="5">
        <v>0</v>
      </c>
      <c r="S88" s="5">
        <f>S87+Q88</f>
        <v>30</v>
      </c>
      <c r="T88" s="5">
        <f>T87+R88</f>
        <v>57</v>
      </c>
      <c r="U88" s="10" t="str">
        <f>S88&amp;"-"&amp;T88</f>
        <v>30-57</v>
      </c>
      <c r="X88" s="5">
        <v>2</v>
      </c>
    </row>
    <row r="89" spans="1:27" x14ac:dyDescent="0.25">
      <c r="A89" s="10">
        <v>22</v>
      </c>
      <c r="B89" s="10" t="s">
        <v>32</v>
      </c>
      <c r="C89" s="11">
        <v>46095</v>
      </c>
      <c r="D89" s="9">
        <v>0.77083333333333304</v>
      </c>
      <c r="E89" s="5" t="s">
        <v>33</v>
      </c>
      <c r="F89" s="6">
        <v>4</v>
      </c>
      <c r="G89" s="5">
        <v>1</v>
      </c>
      <c r="H89" s="5" t="s">
        <v>21</v>
      </c>
      <c r="I89" s="5" t="s">
        <v>53</v>
      </c>
      <c r="J89" s="5" t="s">
        <v>30</v>
      </c>
      <c r="K89" s="5" t="s">
        <v>34</v>
      </c>
      <c r="L89" s="5" t="s">
        <v>23</v>
      </c>
      <c r="M89" s="5" t="s">
        <v>50</v>
      </c>
      <c r="N89" s="5" t="s">
        <v>51</v>
      </c>
      <c r="P89" s="5" t="s">
        <v>45</v>
      </c>
      <c r="Q89" s="5">
        <v>0</v>
      </c>
      <c r="R89" s="5">
        <v>2</v>
      </c>
      <c r="S89" s="5">
        <f>S86+Q89</f>
        <v>30</v>
      </c>
      <c r="T89" s="5">
        <f>T86+R89</f>
        <v>59</v>
      </c>
      <c r="U89" s="10" t="str">
        <f>S89&amp;"-"&amp;T89</f>
        <v>30-59</v>
      </c>
      <c r="X89" s="5">
        <v>1</v>
      </c>
      <c r="AA89" s="5">
        <v>2</v>
      </c>
    </row>
    <row r="90" spans="1:27" x14ac:dyDescent="0.25">
      <c r="A90" s="10">
        <v>22</v>
      </c>
      <c r="B90" s="10" t="s">
        <v>32</v>
      </c>
      <c r="C90" s="11">
        <v>46095</v>
      </c>
      <c r="D90" s="9">
        <v>0.77083333333333304</v>
      </c>
      <c r="E90" s="5" t="s">
        <v>33</v>
      </c>
      <c r="F90" s="6">
        <v>4</v>
      </c>
      <c r="G90" s="5">
        <v>0</v>
      </c>
      <c r="H90" s="5" t="s">
        <v>21</v>
      </c>
      <c r="I90" s="5" t="s">
        <v>53</v>
      </c>
      <c r="J90" s="5" t="s">
        <v>30</v>
      </c>
      <c r="K90" s="5" t="s">
        <v>34</v>
      </c>
      <c r="L90" s="5" t="s">
        <v>23</v>
      </c>
      <c r="M90" s="5" t="s">
        <v>38</v>
      </c>
      <c r="N90" s="5" t="s">
        <v>39</v>
      </c>
      <c r="P90" s="5" t="s">
        <v>40</v>
      </c>
      <c r="Q90" s="5">
        <v>0</v>
      </c>
      <c r="R90" s="5">
        <v>0</v>
      </c>
      <c r="S90" s="5">
        <f>S87+Q90</f>
        <v>30</v>
      </c>
      <c r="T90" s="5">
        <f>T87+R90</f>
        <v>57</v>
      </c>
      <c r="U90" s="10" t="str">
        <f>S90&amp;"-"&amp;T90</f>
        <v>30-57</v>
      </c>
    </row>
    <row r="91" spans="1:27" s="6" customFormat="1" x14ac:dyDescent="0.25">
      <c r="A91" s="10">
        <v>22</v>
      </c>
      <c r="B91" s="10" t="s">
        <v>32</v>
      </c>
      <c r="C91" s="11">
        <v>46095</v>
      </c>
      <c r="D91" s="9">
        <v>0.77083333333333304</v>
      </c>
      <c r="E91" s="5" t="s">
        <v>33</v>
      </c>
      <c r="F91" s="6">
        <v>4</v>
      </c>
      <c r="G91" s="6">
        <v>0</v>
      </c>
      <c r="H91" s="6" t="s">
        <v>21</v>
      </c>
      <c r="I91" s="6" t="s">
        <v>53</v>
      </c>
      <c r="J91" s="6" t="s">
        <v>30</v>
      </c>
      <c r="K91" s="6" t="s">
        <v>34</v>
      </c>
      <c r="L91" s="6" t="s">
        <v>23</v>
      </c>
      <c r="M91" s="6" t="s">
        <v>52</v>
      </c>
      <c r="N91" s="6" t="s">
        <v>51</v>
      </c>
      <c r="P91" s="6" t="s">
        <v>42</v>
      </c>
      <c r="Q91" s="6">
        <v>0</v>
      </c>
      <c r="R91" s="6">
        <v>0</v>
      </c>
      <c r="S91" s="5">
        <f>S88+Q91</f>
        <v>30</v>
      </c>
      <c r="T91" s="5">
        <f>T88+R91</f>
        <v>57</v>
      </c>
      <c r="U91" s="10" t="str">
        <f>S91&amp;"-"&amp;T91</f>
        <v>30-57</v>
      </c>
    </row>
  </sheetData>
  <autoFilter ref="A1:AD91" xr:uid="{93034ED9-F3C0-42F8-8C99-E681B16A3183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2026-03-16T05:07:52Z</dcterms:modified>
</cp:coreProperties>
</file>