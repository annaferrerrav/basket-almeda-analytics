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OneDrive - Hospital Clínic de Barcelona\Escritorio\LF2 - 2025-56\LF2\"/>
    </mc:Choice>
  </mc:AlternateContent>
  <xr:revisionPtr revIDLastSave="0" documentId="13_ncr:1_{C7340506-A617-45B3-80BD-1EDA912ACCC8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Hoja1!$A$1:$AB$105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S2" i="1"/>
  <c r="L9" i="2"/>
  <c r="M9" i="2"/>
  <c r="N9" i="2"/>
  <c r="K9" i="2"/>
  <c r="U2" i="1" l="1"/>
  <c r="S3" i="1"/>
  <c r="S4" i="1" s="1"/>
  <c r="S5" i="1" s="1"/>
  <c r="S6" i="1" s="1"/>
  <c r="S7" i="1" s="1"/>
  <c r="S8" i="1" s="1"/>
  <c r="S9" i="1" s="1"/>
  <c r="S10" i="1" s="1"/>
  <c r="U10" i="1" s="1"/>
  <c r="U6" i="1" l="1"/>
  <c r="U4" i="1"/>
  <c r="U9" i="1"/>
  <c r="U7" i="1"/>
  <c r="U5" i="1"/>
  <c r="U3" i="1"/>
  <c r="U8" i="1"/>
  <c r="S11" i="1"/>
  <c r="S12" i="1" l="1"/>
  <c r="U12" i="1" s="1"/>
  <c r="U11" i="1"/>
  <c r="S13" i="1" l="1"/>
  <c r="U13" i="1" s="1"/>
  <c r="T28" i="1"/>
  <c r="S14" i="1" l="1"/>
  <c r="U14" i="1" s="1"/>
  <c r="T29" i="1"/>
  <c r="S15" i="1" l="1"/>
  <c r="U15" i="1" s="1"/>
  <c r="T30" i="1"/>
  <c r="S16" i="1" l="1"/>
  <c r="U16" i="1" s="1"/>
  <c r="T31" i="1"/>
  <c r="S17" i="1" l="1"/>
  <c r="U17" i="1" s="1"/>
  <c r="T32" i="1"/>
  <c r="S18" i="1" l="1"/>
  <c r="U18" i="1" s="1"/>
  <c r="T33" i="1"/>
  <c r="S19" i="1" l="1"/>
  <c r="U19" i="1" s="1"/>
  <c r="T34" i="1"/>
  <c r="S20" i="1" l="1"/>
  <c r="U20" i="1" s="1"/>
  <c r="T35" i="1"/>
  <c r="S21" i="1" l="1"/>
  <c r="U21" i="1" s="1"/>
  <c r="T36" i="1"/>
  <c r="S22" i="1" l="1"/>
  <c r="U22" i="1" s="1"/>
  <c r="T37" i="1"/>
  <c r="S23" i="1" l="1"/>
  <c r="U23" i="1" s="1"/>
  <c r="T38" i="1"/>
  <c r="S24" i="1" l="1"/>
  <c r="U24" i="1" s="1"/>
  <c r="T39" i="1"/>
  <c r="S25" i="1" l="1"/>
  <c r="U25" i="1" s="1"/>
  <c r="T40" i="1"/>
  <c r="S26" i="1" l="1"/>
  <c r="T41" i="1"/>
  <c r="U26" i="1" l="1"/>
  <c r="S27" i="1"/>
  <c r="U27" i="1" s="1"/>
  <c r="T42" i="1"/>
  <c r="T43" i="1" l="1"/>
  <c r="T44" i="1" l="1"/>
  <c r="T45" i="1" l="1"/>
  <c r="T47" i="1" s="1"/>
  <c r="S28" i="1" l="1"/>
  <c r="U28" i="1" s="1"/>
  <c r="T46" i="1"/>
  <c r="S29" i="1" l="1"/>
  <c r="U29" i="1" s="1"/>
  <c r="T48" i="1"/>
  <c r="S30" i="1" l="1"/>
  <c r="U30" i="1" s="1"/>
  <c r="T49" i="1"/>
  <c r="S31" i="1" l="1"/>
  <c r="U31" i="1" s="1"/>
  <c r="T50" i="1"/>
  <c r="S32" i="1" l="1"/>
  <c r="U32" i="1" s="1"/>
  <c r="T51" i="1"/>
  <c r="S33" i="1" l="1"/>
  <c r="U33" i="1" s="1"/>
  <c r="T52" i="1"/>
  <c r="S34" i="1" l="1"/>
  <c r="U34" i="1" s="1"/>
  <c r="T53" i="1"/>
  <c r="S35" i="1" l="1"/>
  <c r="U35" i="1" s="1"/>
  <c r="T54" i="1"/>
  <c r="S36" i="1" l="1"/>
  <c r="U36" i="1" s="1"/>
  <c r="T55" i="1"/>
  <c r="S37" i="1" l="1"/>
  <c r="U37" i="1" s="1"/>
  <c r="T56" i="1"/>
  <c r="S38" i="1" l="1"/>
  <c r="U38" i="1" s="1"/>
  <c r="T57" i="1"/>
  <c r="S39" i="1" l="1"/>
  <c r="U39" i="1" s="1"/>
  <c r="T58" i="1"/>
  <c r="S40" i="1" l="1"/>
  <c r="U40" i="1" s="1"/>
  <c r="T59" i="1"/>
  <c r="S41" i="1" l="1"/>
  <c r="U41" i="1" s="1"/>
  <c r="T60" i="1"/>
  <c r="S42" i="1" l="1"/>
  <c r="U42" i="1" s="1"/>
  <c r="T61" i="1"/>
  <c r="S43" i="1" l="1"/>
  <c r="U43" i="1" s="1"/>
  <c r="T62" i="1"/>
  <c r="T63" i="1" s="1"/>
  <c r="T64" i="1" l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S44" i="1"/>
  <c r="U44" i="1" s="1"/>
  <c r="T78" i="1" l="1"/>
  <c r="T77" i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S45" i="1"/>
  <c r="T91" i="1" l="1"/>
  <c r="U45" i="1"/>
  <c r="S47" i="1"/>
  <c r="U47" i="1" s="1"/>
  <c r="S46" i="1"/>
  <c r="U46" i="1" s="1"/>
  <c r="T92" i="1" l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S48" i="1"/>
  <c r="U48" i="1" s="1"/>
  <c r="S49" i="1" l="1"/>
  <c r="U49" i="1" s="1"/>
  <c r="S50" i="1" l="1"/>
  <c r="U50" i="1" s="1"/>
  <c r="S51" i="1" l="1"/>
  <c r="U51" i="1" s="1"/>
  <c r="S52" i="1" l="1"/>
  <c r="U52" i="1" s="1"/>
  <c r="S53" i="1" l="1"/>
  <c r="U53" i="1" s="1"/>
  <c r="S54" i="1" l="1"/>
  <c r="U54" i="1" s="1"/>
  <c r="S55" i="1" l="1"/>
  <c r="U55" i="1" s="1"/>
  <c r="S56" i="1" l="1"/>
  <c r="U56" i="1" s="1"/>
  <c r="S57" i="1" l="1"/>
  <c r="U57" i="1" s="1"/>
  <c r="S58" i="1" l="1"/>
  <c r="U58" i="1" s="1"/>
  <c r="S59" i="1" l="1"/>
  <c r="U59" i="1" s="1"/>
  <c r="S60" i="1" l="1"/>
  <c r="U60" i="1" s="1"/>
  <c r="S61" i="1" l="1"/>
  <c r="U61" i="1" s="1"/>
  <c r="S62" i="1" l="1"/>
  <c r="U62" i="1" l="1"/>
  <c r="S63" i="1"/>
  <c r="S64" i="1" l="1"/>
  <c r="U63" i="1"/>
  <c r="S65" i="1" l="1"/>
  <c r="U64" i="1"/>
  <c r="S66" i="1" l="1"/>
  <c r="U65" i="1"/>
  <c r="S67" i="1" l="1"/>
  <c r="U66" i="1"/>
  <c r="S68" i="1" l="1"/>
  <c r="U67" i="1"/>
  <c r="S69" i="1" l="1"/>
  <c r="U68" i="1"/>
  <c r="S70" i="1" l="1"/>
  <c r="U69" i="1"/>
  <c r="S71" i="1" l="1"/>
  <c r="U70" i="1"/>
  <c r="S72" i="1" l="1"/>
  <c r="U71" i="1"/>
  <c r="S73" i="1" l="1"/>
  <c r="U72" i="1"/>
  <c r="S74" i="1" l="1"/>
  <c r="U73" i="1"/>
  <c r="S75" i="1" l="1"/>
  <c r="U74" i="1"/>
  <c r="S76" i="1" l="1"/>
  <c r="U75" i="1"/>
  <c r="S78" i="1" l="1"/>
  <c r="U78" i="1" s="1"/>
  <c r="S77" i="1"/>
  <c r="U76" i="1"/>
  <c r="S79" i="1" l="1"/>
  <c r="U77" i="1"/>
  <c r="S80" i="1" l="1"/>
  <c r="U79" i="1"/>
  <c r="S81" i="1" l="1"/>
  <c r="U80" i="1"/>
  <c r="S82" i="1" l="1"/>
  <c r="U81" i="1"/>
  <c r="S83" i="1" l="1"/>
  <c r="U82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U91" i="1"/>
  <c r="U94" i="1" l="1"/>
  <c r="U95" i="1"/>
  <c r="U92" i="1"/>
  <c r="U102" i="1"/>
  <c r="U98" i="1"/>
  <c r="U96" i="1" l="1"/>
  <c r="U93" i="1"/>
  <c r="U99" i="1"/>
  <c r="U97" i="1" l="1"/>
  <c r="U100" i="1"/>
  <c r="U101" i="1" l="1"/>
</calcChain>
</file>

<file path=xl/sharedStrings.xml><?xml version="1.0" encoding="utf-8"?>
<sst xmlns="http://schemas.openxmlformats.org/spreadsheetml/2006/main" count="1056" uniqueCount="79">
  <si>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</si>
  <si>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</si>
  <si>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</si>
  <si>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</si>
  <si>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</si>
  <si>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</si>
  <si>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</si>
  <si>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</si>
  <si>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</si>
  <si>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</si>
  <si>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</si>
  <si>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</si>
  <si>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</si>
  <si>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</si>
  <si>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</si>
  <si>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</si>
  <si>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</si>
  <si>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</si>
  <si>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</si>
  <si>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</si>
  <si>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</si>
  <si>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</si>
  <si>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</si>
  <si>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</si>
  <si>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</si>
  <si>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</si>
  <si>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</si>
  <si>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</si>
  <si>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</si>
  <si>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</si>
  <si>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t2c</t>
  </si>
  <si>
    <t>Punts RO a favor</t>
  </si>
  <si>
    <t>pèrdua</t>
  </si>
  <si>
    <t>tierno</t>
  </si>
  <si>
    <t>falta</t>
  </si>
  <si>
    <t>Període</t>
  </si>
  <si>
    <t>PF de RO a favor</t>
  </si>
  <si>
    <t>PF de RO en contra</t>
  </si>
  <si>
    <t>total</t>
  </si>
  <si>
    <t>Cojo</t>
  </si>
  <si>
    <t>cojo</t>
  </si>
  <si>
    <t>CD</t>
  </si>
  <si>
    <t>play</t>
  </si>
  <si>
    <t>Moreno</t>
  </si>
  <si>
    <t>Tapia</t>
  </si>
  <si>
    <t>go</t>
  </si>
  <si>
    <t>tapia</t>
  </si>
  <si>
    <t>Mar</t>
  </si>
  <si>
    <t>marina</t>
  </si>
  <si>
    <t>contratac</t>
  </si>
  <si>
    <t>Jové</t>
  </si>
  <si>
    <t>banda 35</t>
  </si>
  <si>
    <t>RO</t>
  </si>
  <si>
    <t>mar</t>
  </si>
  <si>
    <t>moreno</t>
  </si>
  <si>
    <t>tac30</t>
  </si>
  <si>
    <t>falta (TLL)</t>
  </si>
  <si>
    <t>Masa</t>
  </si>
  <si>
    <t>-</t>
  </si>
  <si>
    <t>t3f</t>
  </si>
  <si>
    <t>masa</t>
  </si>
  <si>
    <t>tac35</t>
  </si>
  <si>
    <t>Bernal</t>
  </si>
  <si>
    <t>jové</t>
  </si>
  <si>
    <t>lado</t>
  </si>
  <si>
    <t>lliure</t>
  </si>
  <si>
    <t>siena</t>
  </si>
  <si>
    <t>dana</t>
  </si>
  <si>
    <t>bernal</t>
  </si>
  <si>
    <t>t3c</t>
  </si>
  <si>
    <t>pissarra</t>
  </si>
  <si>
    <t>GEIEG PACISA</t>
  </si>
  <si>
    <t>Local</t>
  </si>
  <si>
    <t>t23f</t>
  </si>
  <si>
    <t>2 arriba</t>
  </si>
  <si>
    <t>Ivet</t>
  </si>
  <si>
    <t>ivet</t>
  </si>
  <si>
    <t>zona 4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</si>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</sst>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7" fillId="0" borderId="0" xfId="0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5" borderId="0" xfId="0" applyFont="1" applyFill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20" fontId="4" fillId="0" borderId="0" xfId="0" applyNumberFormat="1" applyFont="1"/>
    <xf numFmtId="0" fontId="4" fillId="3" borderId="0" xfId="0" applyFont="1" applyFill="1"/>
    <xf numFmtId="0" fontId="8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0" fillId="0" borderId="0" xfId="0" quotePrefix="1"/>
    <xf numFmtId="0" fontId="0" fillId="7" borderId="0" xfId="0" applyFill="1"/>
    <xf numFmtId="0" fontId="8" fillId="0" borderId="0" xfId="0" applyFont="1" applyAlignment="1">
      <alignment horizontal="center" vertical="center"/>
    </xf>
    <xf numFmtId="14" fontId="8" fillId="0" borderId="0" xfId="0" applyNumberFormat="1" applyFont="1"/>
    <xf numFmtId="20" fontId="8" fillId="0" borderId="0" xfId="0" applyNumberFormat="1" applyFont="1"/>
    <xf numFmtId="0" fontId="8" fillId="5" borderId="0" xfId="0" applyFont="1" applyFill="1"/>
    <xf numFmtId="0" fontId="4" fillId="2" borderId="0" xfId="0" applyFont="1" applyFill="1"/>
    <xf numFmtId="0" fontId="7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loncestoenvivo.feb.es/Equipo.aspx?i=980023" TargetMode="External"/><Relationship Id="rId21" Type="http://schemas.openxmlformats.org/officeDocument/2006/relationships/hyperlink" Target="https://baloncestoenvivo.feb.es/Equipo.aspx?i=980023" TargetMode="External"/><Relationship Id="rId42" Type="http://schemas.openxmlformats.org/officeDocument/2006/relationships/hyperlink" Target="https://baloncestoenvivo.feb.es/Equipo.aspx?i=980023" TargetMode="External"/><Relationship Id="rId47" Type="http://schemas.openxmlformats.org/officeDocument/2006/relationships/hyperlink" Target="https://baloncestoenvivo.feb.es/Equipo.aspx?i=980023" TargetMode="External"/><Relationship Id="rId63" Type="http://schemas.openxmlformats.org/officeDocument/2006/relationships/hyperlink" Target="https://baloncestoenvivo.feb.es/Equipo.aspx?i=980023" TargetMode="External"/><Relationship Id="rId68" Type="http://schemas.openxmlformats.org/officeDocument/2006/relationships/hyperlink" Target="https://baloncestoenvivo.feb.es/Equipo.aspx?i=980023" TargetMode="External"/><Relationship Id="rId84" Type="http://schemas.openxmlformats.org/officeDocument/2006/relationships/hyperlink" Target="https://baloncestoenvivo.feb.es/Equipo.aspx?i=980023" TargetMode="External"/><Relationship Id="rId89" Type="http://schemas.openxmlformats.org/officeDocument/2006/relationships/hyperlink" Target="https://baloncestoenvivo.feb.es/Equipo.aspx?i=980023" TargetMode="External"/><Relationship Id="rId16" Type="http://schemas.openxmlformats.org/officeDocument/2006/relationships/hyperlink" Target="https://baloncestoenvivo.feb.es/Equipo.aspx?i=980023" TargetMode="External"/><Relationship Id="rId11" Type="http://schemas.openxmlformats.org/officeDocument/2006/relationships/hyperlink" Target="https://baloncestoenvivo.feb.es/Equipo.aspx?i=980023" TargetMode="External"/><Relationship Id="rId32" Type="http://schemas.openxmlformats.org/officeDocument/2006/relationships/hyperlink" Target="https://baloncestoenvivo.feb.es/Equipo.aspx?i=980023" TargetMode="External"/><Relationship Id="rId37" Type="http://schemas.openxmlformats.org/officeDocument/2006/relationships/hyperlink" Target="https://baloncestoenvivo.feb.es/Equipo.aspx?i=980023" TargetMode="External"/><Relationship Id="rId53" Type="http://schemas.openxmlformats.org/officeDocument/2006/relationships/hyperlink" Target="https://baloncestoenvivo.feb.es/Equipo.aspx?i=980023" TargetMode="External"/><Relationship Id="rId58" Type="http://schemas.openxmlformats.org/officeDocument/2006/relationships/hyperlink" Target="https://baloncestoenvivo.feb.es/Equipo.aspx?i=980023" TargetMode="External"/><Relationship Id="rId74" Type="http://schemas.openxmlformats.org/officeDocument/2006/relationships/hyperlink" Target="https://baloncestoenvivo.feb.es/Equipo.aspx?i=980023" TargetMode="External"/><Relationship Id="rId79" Type="http://schemas.openxmlformats.org/officeDocument/2006/relationships/hyperlink" Target="https://baloncestoenvivo.feb.es/Equipo.aspx?i=980023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baloncestoenvivo.feb.es/Equipo.aspx?i=980023" TargetMode="External"/><Relationship Id="rId90" Type="http://schemas.openxmlformats.org/officeDocument/2006/relationships/hyperlink" Target="https://baloncestoenvivo.feb.es/Equipo.aspx?i=980023" TargetMode="External"/><Relationship Id="rId95" Type="http://schemas.openxmlformats.org/officeDocument/2006/relationships/hyperlink" Target="https://baloncestoenvivo.feb.es/Equipo.aspx?i=980023" TargetMode="External"/><Relationship Id="rId22" Type="http://schemas.openxmlformats.org/officeDocument/2006/relationships/hyperlink" Target="https://baloncestoenvivo.feb.es/Equipo.aspx?i=980023" TargetMode="External"/><Relationship Id="rId27" Type="http://schemas.openxmlformats.org/officeDocument/2006/relationships/hyperlink" Target="https://baloncestoenvivo.feb.es/Equipo.aspx?i=980023" TargetMode="External"/><Relationship Id="rId43" Type="http://schemas.openxmlformats.org/officeDocument/2006/relationships/hyperlink" Target="https://baloncestoenvivo.feb.es/Equipo.aspx?i=980023" TargetMode="External"/><Relationship Id="rId48" Type="http://schemas.openxmlformats.org/officeDocument/2006/relationships/hyperlink" Target="https://baloncestoenvivo.feb.es/Equipo.aspx?i=980023" TargetMode="External"/><Relationship Id="rId64" Type="http://schemas.openxmlformats.org/officeDocument/2006/relationships/hyperlink" Target="https://baloncestoenvivo.feb.es/Equipo.aspx?i=980023" TargetMode="External"/><Relationship Id="rId69" Type="http://schemas.openxmlformats.org/officeDocument/2006/relationships/hyperlink" Target="https://baloncestoenvivo.feb.es/Equipo.aspx?i=980023" TargetMode="External"/><Relationship Id="rId80" Type="http://schemas.openxmlformats.org/officeDocument/2006/relationships/hyperlink" Target="https://baloncestoenvivo.feb.es/Equipo.aspx?i=980023" TargetMode="External"/><Relationship Id="rId85" Type="http://schemas.openxmlformats.org/officeDocument/2006/relationships/hyperlink" Target="https://baloncestoenvivo.feb.es/Equipo.aspx?i=980023" TargetMode="External"/><Relationship Id="rId12" Type="http://schemas.openxmlformats.org/officeDocument/2006/relationships/hyperlink" Target="https://baloncestoenvivo.feb.es/Equipo.aspx?i=980023" TargetMode="External"/><Relationship Id="rId17" Type="http://schemas.openxmlformats.org/officeDocument/2006/relationships/hyperlink" Target="https://baloncestoenvivo.feb.es/Equipo.aspx?i=980023" TargetMode="External"/><Relationship Id="rId25" Type="http://schemas.openxmlformats.org/officeDocument/2006/relationships/hyperlink" Target="https://baloncestoenvivo.feb.es/Equipo.aspx?i=980023" TargetMode="External"/><Relationship Id="rId33" Type="http://schemas.openxmlformats.org/officeDocument/2006/relationships/hyperlink" Target="https://baloncestoenvivo.feb.es/Equipo.aspx?i=980023" TargetMode="External"/><Relationship Id="rId38" Type="http://schemas.openxmlformats.org/officeDocument/2006/relationships/hyperlink" Target="https://baloncestoenvivo.feb.es/Equipo.aspx?i=980023" TargetMode="External"/><Relationship Id="rId46" Type="http://schemas.openxmlformats.org/officeDocument/2006/relationships/hyperlink" Target="https://baloncestoenvivo.feb.es/Equipo.aspx?i=980023" TargetMode="External"/><Relationship Id="rId59" Type="http://schemas.openxmlformats.org/officeDocument/2006/relationships/hyperlink" Target="https://baloncestoenvivo.feb.es/Equipo.aspx?i=980023" TargetMode="External"/><Relationship Id="rId67" Type="http://schemas.openxmlformats.org/officeDocument/2006/relationships/hyperlink" Target="https://baloncestoenvivo.feb.es/Equipo.aspx?i=980023" TargetMode="External"/><Relationship Id="rId20" Type="http://schemas.openxmlformats.org/officeDocument/2006/relationships/hyperlink" Target="https://baloncestoenvivo.feb.es/Equipo.aspx?i=980023" TargetMode="External"/><Relationship Id="rId41" Type="http://schemas.openxmlformats.org/officeDocument/2006/relationships/hyperlink" Target="https://baloncestoenvivo.feb.es/Equipo.aspx?i=980023" TargetMode="External"/><Relationship Id="rId54" Type="http://schemas.openxmlformats.org/officeDocument/2006/relationships/hyperlink" Target="https://baloncestoenvivo.feb.es/Equipo.aspx?i=980023" TargetMode="External"/><Relationship Id="rId62" Type="http://schemas.openxmlformats.org/officeDocument/2006/relationships/hyperlink" Target="https://baloncestoenvivo.feb.es/Equipo.aspx?i=980023" TargetMode="External"/><Relationship Id="rId70" Type="http://schemas.openxmlformats.org/officeDocument/2006/relationships/hyperlink" Target="https://baloncestoenvivo.feb.es/Equipo.aspx?i=980023" TargetMode="External"/><Relationship Id="rId75" Type="http://schemas.openxmlformats.org/officeDocument/2006/relationships/hyperlink" Target="https://baloncestoenvivo.feb.es/Equipo.aspx?i=980023" TargetMode="External"/><Relationship Id="rId83" Type="http://schemas.openxmlformats.org/officeDocument/2006/relationships/hyperlink" Target="https://baloncestoenvivo.feb.es/Equipo.aspx?i=980023" TargetMode="External"/><Relationship Id="rId88" Type="http://schemas.openxmlformats.org/officeDocument/2006/relationships/hyperlink" Target="https://baloncestoenvivo.feb.es/Equipo.aspx?i=980023" TargetMode="External"/><Relationship Id="rId91" Type="http://schemas.openxmlformats.org/officeDocument/2006/relationships/hyperlink" Target="https://baloncestoenvivo.feb.es/Equipo.aspx?i=980023" TargetMode="External"/><Relationship Id="rId96" Type="http://schemas.openxmlformats.org/officeDocument/2006/relationships/hyperlink" Target="https://baloncestoenvivo.feb.es/Equipo.aspx?i=980023" TargetMode="External"/><Relationship Id="rId1" Type="http://schemas.openxmlformats.org/officeDocument/2006/relationships/hyperlink" Target="https://baloncestoenvivo.feb.es/Equipo.aspx?i=980023" TargetMode="External"/><Relationship Id="rId6" Type="http://schemas.openxmlformats.org/officeDocument/2006/relationships/hyperlink" Target="https://baloncestoenvivo.feb.es/Equipo.aspx?i=980023" TargetMode="External"/><Relationship Id="rId15" Type="http://schemas.openxmlformats.org/officeDocument/2006/relationships/hyperlink" Target="https://baloncestoenvivo.feb.es/Equipo.aspx?i=980023" TargetMode="External"/><Relationship Id="rId23" Type="http://schemas.openxmlformats.org/officeDocument/2006/relationships/hyperlink" Target="https://baloncestoenvivo.feb.es/Equipo.aspx?i=980023" TargetMode="External"/><Relationship Id="rId28" Type="http://schemas.openxmlformats.org/officeDocument/2006/relationships/hyperlink" Target="https://baloncestoenvivo.feb.es/Equipo.aspx?i=980023" TargetMode="External"/><Relationship Id="rId36" Type="http://schemas.openxmlformats.org/officeDocument/2006/relationships/hyperlink" Target="https://baloncestoenvivo.feb.es/Equipo.aspx?i=980023" TargetMode="External"/><Relationship Id="rId49" Type="http://schemas.openxmlformats.org/officeDocument/2006/relationships/hyperlink" Target="https://baloncestoenvivo.feb.es/Equipo.aspx?i=980023" TargetMode="External"/><Relationship Id="rId57" Type="http://schemas.openxmlformats.org/officeDocument/2006/relationships/hyperlink" Target="https://baloncestoenvivo.feb.es/Equipo.aspx?i=980023" TargetMode="External"/><Relationship Id="rId10" Type="http://schemas.openxmlformats.org/officeDocument/2006/relationships/hyperlink" Target="https://baloncestoenvivo.feb.es/Equipo.aspx?i=980023" TargetMode="External"/><Relationship Id="rId31" Type="http://schemas.openxmlformats.org/officeDocument/2006/relationships/hyperlink" Target="https://baloncestoenvivo.feb.es/Equipo.aspx?i=980023" TargetMode="External"/><Relationship Id="rId44" Type="http://schemas.openxmlformats.org/officeDocument/2006/relationships/hyperlink" Target="https://baloncestoenvivo.feb.es/Equipo.aspx?i=980023" TargetMode="External"/><Relationship Id="rId52" Type="http://schemas.openxmlformats.org/officeDocument/2006/relationships/hyperlink" Target="https://baloncestoenvivo.feb.es/Equipo.aspx?i=980023" TargetMode="External"/><Relationship Id="rId60" Type="http://schemas.openxmlformats.org/officeDocument/2006/relationships/hyperlink" Target="https://baloncestoenvivo.feb.es/Equipo.aspx?i=980023" TargetMode="External"/><Relationship Id="rId65" Type="http://schemas.openxmlformats.org/officeDocument/2006/relationships/hyperlink" Target="https://baloncestoenvivo.feb.es/Equipo.aspx?i=980023" TargetMode="External"/><Relationship Id="rId73" Type="http://schemas.openxmlformats.org/officeDocument/2006/relationships/hyperlink" Target="https://baloncestoenvivo.feb.es/Equipo.aspx?i=980023" TargetMode="External"/><Relationship Id="rId78" Type="http://schemas.openxmlformats.org/officeDocument/2006/relationships/hyperlink" Target="https://baloncestoenvivo.feb.es/Equipo.aspx?i=980023" TargetMode="External"/><Relationship Id="rId81" Type="http://schemas.openxmlformats.org/officeDocument/2006/relationships/hyperlink" Target="https://baloncestoenvivo.feb.es/Equipo.aspx?i=980023" TargetMode="External"/><Relationship Id="rId86" Type="http://schemas.openxmlformats.org/officeDocument/2006/relationships/hyperlink" Target="https://baloncestoenvivo.feb.es/Equipo.aspx?i=980023" TargetMode="External"/><Relationship Id="rId94" Type="http://schemas.openxmlformats.org/officeDocument/2006/relationships/hyperlink" Target="https://baloncestoenvivo.feb.es/Equipo.aspx?i=980023" TargetMode="External"/><Relationship Id="rId99" Type="http://schemas.openxmlformats.org/officeDocument/2006/relationships/hyperlink" Target="https://baloncestoenvivo.feb.es/Equipo.aspx?i=980023" TargetMode="External"/><Relationship Id="rId101" Type="http://schemas.openxmlformats.org/officeDocument/2006/relationships/hyperlink" Target="https://baloncestoenvivo.feb.es/Equipo.aspx?i=980023" TargetMode="External"/><Relationship Id="rId4" Type="http://schemas.openxmlformats.org/officeDocument/2006/relationships/hyperlink" Target="https://baloncestoenvivo.feb.es/Equipo.aspx?i=980023" TargetMode="External"/><Relationship Id="rId9" Type="http://schemas.openxmlformats.org/officeDocument/2006/relationships/hyperlink" Target="https://baloncestoenvivo.feb.es/Equipo.aspx?i=980023" TargetMode="External"/><Relationship Id="rId13" Type="http://schemas.openxmlformats.org/officeDocument/2006/relationships/hyperlink" Target="https://baloncestoenvivo.feb.es/Equipo.aspx?i=980023" TargetMode="External"/><Relationship Id="rId18" Type="http://schemas.openxmlformats.org/officeDocument/2006/relationships/hyperlink" Target="https://baloncestoenvivo.feb.es/Equipo.aspx?i=980023" TargetMode="External"/><Relationship Id="rId39" Type="http://schemas.openxmlformats.org/officeDocument/2006/relationships/hyperlink" Target="https://baloncestoenvivo.feb.es/Equipo.aspx?i=980023" TargetMode="External"/><Relationship Id="rId34" Type="http://schemas.openxmlformats.org/officeDocument/2006/relationships/hyperlink" Target="https://baloncestoenvivo.feb.es/Equipo.aspx?i=980023" TargetMode="External"/><Relationship Id="rId50" Type="http://schemas.openxmlformats.org/officeDocument/2006/relationships/hyperlink" Target="https://baloncestoenvivo.feb.es/Equipo.aspx?i=980023" TargetMode="External"/><Relationship Id="rId55" Type="http://schemas.openxmlformats.org/officeDocument/2006/relationships/hyperlink" Target="https://baloncestoenvivo.feb.es/Equipo.aspx?i=980023" TargetMode="External"/><Relationship Id="rId76" Type="http://schemas.openxmlformats.org/officeDocument/2006/relationships/hyperlink" Target="https://baloncestoenvivo.feb.es/Equipo.aspx?i=980023" TargetMode="External"/><Relationship Id="rId97" Type="http://schemas.openxmlformats.org/officeDocument/2006/relationships/hyperlink" Target="https://baloncestoenvivo.feb.es/Equipo.aspx?i=980023" TargetMode="External"/><Relationship Id="rId7" Type="http://schemas.openxmlformats.org/officeDocument/2006/relationships/hyperlink" Target="https://baloncestoenvivo.feb.es/Equipo.aspx?i=980023" TargetMode="External"/><Relationship Id="rId71" Type="http://schemas.openxmlformats.org/officeDocument/2006/relationships/hyperlink" Target="https://baloncestoenvivo.feb.es/Equipo.aspx?i=980023" TargetMode="External"/><Relationship Id="rId92" Type="http://schemas.openxmlformats.org/officeDocument/2006/relationships/hyperlink" Target="https://baloncestoenvivo.feb.es/Equipo.aspx?i=980023" TargetMode="External"/><Relationship Id="rId2" Type="http://schemas.openxmlformats.org/officeDocument/2006/relationships/hyperlink" Target="https://baloncestoenvivo.feb.es/Equipo.aspx?i=980023" TargetMode="External"/><Relationship Id="rId29" Type="http://schemas.openxmlformats.org/officeDocument/2006/relationships/hyperlink" Target="https://baloncestoenvivo.feb.es/Equipo.aspx?i=980023" TargetMode="External"/><Relationship Id="rId24" Type="http://schemas.openxmlformats.org/officeDocument/2006/relationships/hyperlink" Target="https://baloncestoenvivo.feb.es/Equipo.aspx?i=980023" TargetMode="External"/><Relationship Id="rId40" Type="http://schemas.openxmlformats.org/officeDocument/2006/relationships/hyperlink" Target="https://baloncestoenvivo.feb.es/Equipo.aspx?i=980023" TargetMode="External"/><Relationship Id="rId45" Type="http://schemas.openxmlformats.org/officeDocument/2006/relationships/hyperlink" Target="https://baloncestoenvivo.feb.es/Equipo.aspx?i=980023" TargetMode="External"/><Relationship Id="rId66" Type="http://schemas.openxmlformats.org/officeDocument/2006/relationships/hyperlink" Target="https://baloncestoenvivo.feb.es/Equipo.aspx?i=980023" TargetMode="External"/><Relationship Id="rId87" Type="http://schemas.openxmlformats.org/officeDocument/2006/relationships/hyperlink" Target="https://baloncestoenvivo.feb.es/Equipo.aspx?i=980023" TargetMode="External"/><Relationship Id="rId61" Type="http://schemas.openxmlformats.org/officeDocument/2006/relationships/hyperlink" Target="https://baloncestoenvivo.feb.es/Equipo.aspx?i=980023" TargetMode="External"/><Relationship Id="rId82" Type="http://schemas.openxmlformats.org/officeDocument/2006/relationships/hyperlink" Target="https://baloncestoenvivo.feb.es/Equipo.aspx?i=980023" TargetMode="External"/><Relationship Id="rId19" Type="http://schemas.openxmlformats.org/officeDocument/2006/relationships/hyperlink" Target="https://baloncestoenvivo.feb.es/Equipo.aspx?i=980023" TargetMode="External"/><Relationship Id="rId14" Type="http://schemas.openxmlformats.org/officeDocument/2006/relationships/hyperlink" Target="https://baloncestoenvivo.feb.es/Equipo.aspx?i=980023" TargetMode="External"/><Relationship Id="rId30" Type="http://schemas.openxmlformats.org/officeDocument/2006/relationships/hyperlink" Target="https://baloncestoenvivo.feb.es/Equipo.aspx?i=980023" TargetMode="External"/><Relationship Id="rId35" Type="http://schemas.openxmlformats.org/officeDocument/2006/relationships/hyperlink" Target="https://baloncestoenvivo.feb.es/Equipo.aspx?i=980023" TargetMode="External"/><Relationship Id="rId56" Type="http://schemas.openxmlformats.org/officeDocument/2006/relationships/hyperlink" Target="https://baloncestoenvivo.feb.es/Equipo.aspx?i=980023" TargetMode="External"/><Relationship Id="rId77" Type="http://schemas.openxmlformats.org/officeDocument/2006/relationships/hyperlink" Target="https://baloncestoenvivo.feb.es/Equipo.aspx?i=980023" TargetMode="External"/><Relationship Id="rId100" Type="http://schemas.openxmlformats.org/officeDocument/2006/relationships/hyperlink" Target="https://baloncestoenvivo.feb.es/Equipo.aspx?i=980023" TargetMode="External"/><Relationship Id="rId8" Type="http://schemas.openxmlformats.org/officeDocument/2006/relationships/hyperlink" Target="https://baloncestoenvivo.feb.es/Equipo.aspx?i=980023" TargetMode="External"/><Relationship Id="rId51" Type="http://schemas.openxmlformats.org/officeDocument/2006/relationships/hyperlink" Target="https://baloncestoenvivo.feb.es/Equipo.aspx?i=980023" TargetMode="External"/><Relationship Id="rId72" Type="http://schemas.openxmlformats.org/officeDocument/2006/relationships/hyperlink" Target="https://baloncestoenvivo.feb.es/Equipo.aspx?i=980023" TargetMode="External"/><Relationship Id="rId93" Type="http://schemas.openxmlformats.org/officeDocument/2006/relationships/hyperlink" Target="https://baloncestoenvivo.feb.es/Equipo.aspx?i=980023" TargetMode="External"/><Relationship Id="rId98" Type="http://schemas.openxmlformats.org/officeDocument/2006/relationships/hyperlink" Target="https://baloncestoenvivo.feb.es/Equipo.aspx?i=980023" TargetMode="External"/><Relationship Id="rId3" Type="http://schemas.openxmlformats.org/officeDocument/2006/relationships/hyperlink" Target="https://baloncestoenvivo.feb.es/Equipo.aspx?i=980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sheetPr filterMode="1"/>
  <dimension ref="A1:AA109"/>
  <sheetViews>
    <sheetView tabSelected="1" topLeftCell="D1" zoomScale="115" zoomScaleNormal="115" workbookViewId="0">
      <selection activeCell="Q106" sqref="Q106"/>
    </sheetView>
  </sheetViews>
  <sheetFormatPr baseColWidth="10" defaultRowHeight="15" x14ac:dyDescent="0.25"/>
  <cols>
    <col min="2" max="2" width="14.85546875" customWidth="1"/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31</v>
      </c>
      <c r="AA1" s="3" t="s">
        <v>29</v>
      </c>
    </row>
    <row r="2" spans="1:27" hidden="1" x14ac:dyDescent="0.25">
      <c r="A2" s="4">
        <v>16</v>
      </c>
      <c r="B2" s="4" t="s">
        <v>71</v>
      </c>
      <c r="C2" s="5">
        <v>46053</v>
      </c>
      <c r="D2" s="6">
        <v>0.75694444444444442</v>
      </c>
      <c r="E2" t="s">
        <v>72</v>
      </c>
      <c r="F2" s="7">
        <v>1</v>
      </c>
      <c r="G2">
        <v>9</v>
      </c>
      <c r="H2" t="s">
        <v>21</v>
      </c>
      <c r="I2" t="s">
        <v>44</v>
      </c>
      <c r="J2" t="s">
        <v>39</v>
      </c>
      <c r="K2" t="s">
        <v>47</v>
      </c>
      <c r="L2" t="s">
        <v>43</v>
      </c>
      <c r="M2" t="s">
        <v>58</v>
      </c>
      <c r="N2" t="s">
        <v>58</v>
      </c>
      <c r="Q2">
        <v>0</v>
      </c>
      <c r="R2">
        <v>2</v>
      </c>
      <c r="S2">
        <f>Q2</f>
        <v>0</v>
      </c>
      <c r="T2">
        <f>R2</f>
        <v>2</v>
      </c>
      <c r="U2" s="4" t="str">
        <f>S2&amp;"-"&amp;T2</f>
        <v>0-2</v>
      </c>
    </row>
    <row r="3" spans="1:27" hidden="1" x14ac:dyDescent="0.25">
      <c r="A3" s="4">
        <v>16</v>
      </c>
      <c r="B3" s="4" t="s">
        <v>71</v>
      </c>
      <c r="C3" s="5">
        <v>46053</v>
      </c>
      <c r="D3" s="6">
        <v>0.75694444444444442</v>
      </c>
      <c r="E3" t="s">
        <v>72</v>
      </c>
      <c r="F3" s="7">
        <v>1</v>
      </c>
      <c r="G3">
        <v>9</v>
      </c>
      <c r="H3" t="s">
        <v>21</v>
      </c>
      <c r="I3" t="s">
        <v>44</v>
      </c>
      <c r="J3" t="s">
        <v>39</v>
      </c>
      <c r="K3" t="s">
        <v>47</v>
      </c>
      <c r="L3" t="s">
        <v>43</v>
      </c>
      <c r="M3" t="s">
        <v>45</v>
      </c>
      <c r="N3" t="s">
        <v>30</v>
      </c>
      <c r="P3" t="s">
        <v>46</v>
      </c>
      <c r="Q3">
        <v>2</v>
      </c>
      <c r="R3">
        <v>0</v>
      </c>
      <c r="S3">
        <f>S2+Q3</f>
        <v>2</v>
      </c>
      <c r="T3">
        <f>T2+R3</f>
        <v>2</v>
      </c>
      <c r="U3" s="4" t="str">
        <f t="shared" ref="U3:U62" si="0">S3&amp;"-"&amp;T3</f>
        <v>2-2</v>
      </c>
    </row>
    <row r="4" spans="1:27" hidden="1" x14ac:dyDescent="0.25">
      <c r="A4" s="4">
        <v>16</v>
      </c>
      <c r="B4" s="4" t="s">
        <v>71</v>
      </c>
      <c r="C4" s="5">
        <v>46053</v>
      </c>
      <c r="D4" s="6">
        <v>0.75694444444444398</v>
      </c>
      <c r="E4" t="s">
        <v>72</v>
      </c>
      <c r="F4" s="7">
        <v>1</v>
      </c>
      <c r="G4">
        <v>9</v>
      </c>
      <c r="H4" t="s">
        <v>21</v>
      </c>
      <c r="I4" t="s">
        <v>44</v>
      </c>
      <c r="J4" t="s">
        <v>39</v>
      </c>
      <c r="K4" t="s">
        <v>47</v>
      </c>
      <c r="L4" t="s">
        <v>43</v>
      </c>
      <c r="M4" t="s">
        <v>65</v>
      </c>
      <c r="N4" t="s">
        <v>32</v>
      </c>
      <c r="P4" t="s">
        <v>40</v>
      </c>
      <c r="Q4">
        <v>0</v>
      </c>
      <c r="R4">
        <v>0</v>
      </c>
      <c r="S4">
        <f t="shared" ref="S4:S46" si="1">S3+Q4</f>
        <v>2</v>
      </c>
      <c r="T4">
        <f t="shared" ref="T4:T46" si="2">T3+R4</f>
        <v>2</v>
      </c>
      <c r="U4" s="4" t="str">
        <f t="shared" si="0"/>
        <v>2-2</v>
      </c>
    </row>
    <row r="5" spans="1:27" hidden="1" x14ac:dyDescent="0.25">
      <c r="A5" s="4">
        <v>16</v>
      </c>
      <c r="B5" s="4" t="s">
        <v>71</v>
      </c>
      <c r="C5" s="5">
        <v>46053</v>
      </c>
      <c r="D5" s="6">
        <v>0.75694444444444398</v>
      </c>
      <c r="E5" t="s">
        <v>72</v>
      </c>
      <c r="F5" s="7">
        <v>1</v>
      </c>
      <c r="G5">
        <v>8</v>
      </c>
      <c r="H5" t="s">
        <v>21</v>
      </c>
      <c r="I5" t="s">
        <v>44</v>
      </c>
      <c r="J5" t="s">
        <v>39</v>
      </c>
      <c r="K5" t="s">
        <v>47</v>
      </c>
      <c r="L5" t="s">
        <v>43</v>
      </c>
      <c r="M5" t="s">
        <v>61</v>
      </c>
      <c r="N5" t="s">
        <v>59</v>
      </c>
      <c r="P5" t="s">
        <v>40</v>
      </c>
      <c r="Q5">
        <v>0</v>
      </c>
      <c r="R5">
        <v>2</v>
      </c>
      <c r="S5">
        <f t="shared" si="1"/>
        <v>2</v>
      </c>
      <c r="T5">
        <f t="shared" si="2"/>
        <v>4</v>
      </c>
      <c r="U5" s="4" t="str">
        <f t="shared" si="0"/>
        <v>2-4</v>
      </c>
    </row>
    <row r="6" spans="1:27" hidden="1" x14ac:dyDescent="0.25">
      <c r="A6" s="4">
        <v>16</v>
      </c>
      <c r="B6" s="4" t="s">
        <v>71</v>
      </c>
      <c r="C6" s="5">
        <v>46053</v>
      </c>
      <c r="D6" s="6">
        <v>0.75694444444444398</v>
      </c>
      <c r="E6" t="s">
        <v>72</v>
      </c>
      <c r="F6" s="7">
        <v>1</v>
      </c>
      <c r="G6">
        <v>8</v>
      </c>
      <c r="H6" t="s">
        <v>21</v>
      </c>
      <c r="I6" t="s">
        <v>44</v>
      </c>
      <c r="J6" t="s">
        <v>39</v>
      </c>
      <c r="K6" t="s">
        <v>47</v>
      </c>
      <c r="L6" t="s">
        <v>43</v>
      </c>
      <c r="M6" t="s">
        <v>55</v>
      </c>
      <c r="N6" t="s">
        <v>30</v>
      </c>
      <c r="O6" t="s">
        <v>40</v>
      </c>
      <c r="P6" t="s">
        <v>53</v>
      </c>
      <c r="Q6">
        <v>2</v>
      </c>
      <c r="R6">
        <v>2</v>
      </c>
      <c r="S6">
        <f t="shared" si="1"/>
        <v>4</v>
      </c>
      <c r="T6">
        <f t="shared" si="2"/>
        <v>6</v>
      </c>
      <c r="U6" s="4" t="str">
        <f t="shared" si="0"/>
        <v>4-6</v>
      </c>
      <c r="X6">
        <v>1</v>
      </c>
    </row>
    <row r="7" spans="1:27" hidden="1" x14ac:dyDescent="0.25">
      <c r="A7" s="4">
        <v>16</v>
      </c>
      <c r="B7" s="4" t="s">
        <v>71</v>
      </c>
      <c r="C7" s="5">
        <v>46053</v>
      </c>
      <c r="D7" s="6">
        <v>0.75694444444444398</v>
      </c>
      <c r="E7" t="s">
        <v>72</v>
      </c>
      <c r="F7" s="7">
        <v>1</v>
      </c>
      <c r="G7">
        <v>7</v>
      </c>
      <c r="H7" t="s">
        <v>21</v>
      </c>
      <c r="I7" t="s">
        <v>44</v>
      </c>
      <c r="J7" t="s">
        <v>22</v>
      </c>
      <c r="K7" t="s">
        <v>39</v>
      </c>
      <c r="L7" t="s">
        <v>24</v>
      </c>
      <c r="M7" t="s">
        <v>49</v>
      </c>
      <c r="N7" t="s">
        <v>32</v>
      </c>
      <c r="P7" t="s">
        <v>40</v>
      </c>
      <c r="Q7">
        <v>0</v>
      </c>
      <c r="R7">
        <v>0</v>
      </c>
      <c r="S7">
        <f t="shared" si="1"/>
        <v>4</v>
      </c>
      <c r="T7">
        <f t="shared" si="2"/>
        <v>6</v>
      </c>
      <c r="U7" s="4" t="str">
        <f t="shared" si="0"/>
        <v>4-6</v>
      </c>
    </row>
    <row r="8" spans="1:27" hidden="1" x14ac:dyDescent="0.25">
      <c r="A8" s="4">
        <v>16</v>
      </c>
      <c r="B8" s="4" t="s">
        <v>71</v>
      </c>
      <c r="C8" s="5">
        <v>46053</v>
      </c>
      <c r="D8" s="6">
        <v>0.75694444444444398</v>
      </c>
      <c r="E8" t="s">
        <v>72</v>
      </c>
      <c r="F8" s="7">
        <v>1</v>
      </c>
      <c r="G8">
        <v>7</v>
      </c>
      <c r="H8" t="s">
        <v>21</v>
      </c>
      <c r="I8" t="s">
        <v>44</v>
      </c>
      <c r="J8" t="s">
        <v>22</v>
      </c>
      <c r="K8" t="s">
        <v>39</v>
      </c>
      <c r="L8" t="s">
        <v>24</v>
      </c>
      <c r="M8" t="s">
        <v>49</v>
      </c>
      <c r="N8" t="s">
        <v>30</v>
      </c>
      <c r="O8" t="s">
        <v>33</v>
      </c>
      <c r="P8" t="s">
        <v>46</v>
      </c>
      <c r="Q8">
        <v>3</v>
      </c>
      <c r="R8">
        <v>0</v>
      </c>
      <c r="S8">
        <f t="shared" si="1"/>
        <v>7</v>
      </c>
      <c r="T8">
        <f t="shared" si="2"/>
        <v>6</v>
      </c>
      <c r="U8" s="4" t="str">
        <f t="shared" si="0"/>
        <v>7-6</v>
      </c>
    </row>
    <row r="9" spans="1:27" hidden="1" x14ac:dyDescent="0.25">
      <c r="A9" s="4">
        <v>16</v>
      </c>
      <c r="B9" s="4" t="s">
        <v>71</v>
      </c>
      <c r="C9" s="5">
        <v>46053</v>
      </c>
      <c r="D9" s="6">
        <v>0.75694444444444398</v>
      </c>
      <c r="E9" t="s">
        <v>72</v>
      </c>
      <c r="F9" s="7">
        <v>1</v>
      </c>
      <c r="G9">
        <v>6</v>
      </c>
      <c r="H9" t="s">
        <v>21</v>
      </c>
      <c r="I9" t="s">
        <v>44</v>
      </c>
      <c r="J9" t="s">
        <v>22</v>
      </c>
      <c r="K9" t="s">
        <v>39</v>
      </c>
      <c r="L9" t="s">
        <v>24</v>
      </c>
      <c r="M9" t="s">
        <v>42</v>
      </c>
      <c r="N9" t="s">
        <v>73</v>
      </c>
      <c r="P9" t="s">
        <v>33</v>
      </c>
      <c r="Q9">
        <v>0</v>
      </c>
      <c r="R9">
        <v>0</v>
      </c>
      <c r="S9">
        <f t="shared" si="1"/>
        <v>7</v>
      </c>
      <c r="T9">
        <f t="shared" si="2"/>
        <v>6</v>
      </c>
      <c r="U9" s="4" t="str">
        <f t="shared" si="0"/>
        <v>7-6</v>
      </c>
    </row>
    <row r="10" spans="1:27" x14ac:dyDescent="0.25">
      <c r="A10" s="4">
        <v>16</v>
      </c>
      <c r="B10" s="4" t="s">
        <v>71</v>
      </c>
      <c r="C10" s="5">
        <v>46053</v>
      </c>
      <c r="D10" s="6">
        <v>0.75694444444444398</v>
      </c>
      <c r="E10" t="s">
        <v>72</v>
      </c>
      <c r="F10" s="7">
        <v>1</v>
      </c>
      <c r="G10">
        <v>6</v>
      </c>
      <c r="H10" t="s">
        <v>21</v>
      </c>
      <c r="I10" t="s">
        <v>44</v>
      </c>
      <c r="J10" t="s">
        <v>22</v>
      </c>
      <c r="K10" t="s">
        <v>39</v>
      </c>
      <c r="L10" t="s">
        <v>24</v>
      </c>
      <c r="M10" t="s">
        <v>52</v>
      </c>
      <c r="N10" t="s">
        <v>30</v>
      </c>
      <c r="P10" t="s">
        <v>48</v>
      </c>
      <c r="Q10">
        <v>2</v>
      </c>
      <c r="R10">
        <v>0</v>
      </c>
      <c r="S10">
        <f t="shared" si="1"/>
        <v>9</v>
      </c>
      <c r="T10">
        <f t="shared" si="2"/>
        <v>6</v>
      </c>
      <c r="U10" s="4" t="str">
        <f t="shared" si="0"/>
        <v>9-6</v>
      </c>
      <c r="V10">
        <v>1</v>
      </c>
      <c r="Z10">
        <v>2</v>
      </c>
    </row>
    <row r="11" spans="1:27" hidden="1" x14ac:dyDescent="0.25">
      <c r="A11" s="4">
        <v>16</v>
      </c>
      <c r="B11" s="4" t="s">
        <v>71</v>
      </c>
      <c r="C11" s="5">
        <v>46053</v>
      </c>
      <c r="D11" s="6">
        <v>0.75694444444444398</v>
      </c>
      <c r="E11" t="s">
        <v>72</v>
      </c>
      <c r="F11" s="7">
        <v>1</v>
      </c>
      <c r="G11">
        <v>6</v>
      </c>
      <c r="H11" t="s">
        <v>21</v>
      </c>
      <c r="I11" t="s">
        <v>44</v>
      </c>
      <c r="J11" t="s">
        <v>22</v>
      </c>
      <c r="K11" t="s">
        <v>39</v>
      </c>
      <c r="L11" t="s">
        <v>24</v>
      </c>
      <c r="M11" t="s">
        <v>49</v>
      </c>
      <c r="N11" t="s">
        <v>59</v>
      </c>
      <c r="P11" t="s">
        <v>40</v>
      </c>
      <c r="Q11">
        <v>0</v>
      </c>
      <c r="R11">
        <v>0</v>
      </c>
      <c r="S11">
        <f t="shared" si="1"/>
        <v>9</v>
      </c>
      <c r="T11">
        <f t="shared" si="2"/>
        <v>6</v>
      </c>
      <c r="U11" s="4" t="str">
        <f t="shared" si="0"/>
        <v>9-6</v>
      </c>
    </row>
    <row r="12" spans="1:27" hidden="1" x14ac:dyDescent="0.25">
      <c r="A12" s="4">
        <v>16</v>
      </c>
      <c r="B12" s="4" t="s">
        <v>71</v>
      </c>
      <c r="C12" s="5">
        <v>46053</v>
      </c>
      <c r="D12" s="6">
        <v>0.75694444444444398</v>
      </c>
      <c r="E12" t="s">
        <v>72</v>
      </c>
      <c r="F12" s="7">
        <v>1</v>
      </c>
      <c r="G12">
        <v>6</v>
      </c>
      <c r="H12" t="s">
        <v>21</v>
      </c>
      <c r="I12" t="s">
        <v>44</v>
      </c>
      <c r="J12" t="s">
        <v>22</v>
      </c>
      <c r="K12" t="s">
        <v>39</v>
      </c>
      <c r="L12" t="s">
        <v>24</v>
      </c>
      <c r="M12" t="s">
        <v>45</v>
      </c>
      <c r="N12" t="s">
        <v>34</v>
      </c>
      <c r="P12" t="s">
        <v>48</v>
      </c>
      <c r="Q12">
        <v>0</v>
      </c>
      <c r="R12">
        <v>0</v>
      </c>
      <c r="S12">
        <f t="shared" si="1"/>
        <v>9</v>
      </c>
      <c r="T12">
        <f t="shared" si="2"/>
        <v>6</v>
      </c>
      <c r="U12" s="4" t="str">
        <f t="shared" si="0"/>
        <v>9-6</v>
      </c>
    </row>
    <row r="13" spans="1:27" hidden="1" x14ac:dyDescent="0.25">
      <c r="A13" s="4">
        <v>16</v>
      </c>
      <c r="B13" s="4" t="s">
        <v>71</v>
      </c>
      <c r="C13" s="5">
        <v>46053</v>
      </c>
      <c r="D13" s="6">
        <v>0.75694444444444398</v>
      </c>
      <c r="E13" t="s">
        <v>72</v>
      </c>
      <c r="F13" s="7">
        <v>1</v>
      </c>
      <c r="G13">
        <v>5</v>
      </c>
      <c r="H13" t="s">
        <v>21</v>
      </c>
      <c r="I13" t="s">
        <v>44</v>
      </c>
      <c r="J13" t="s">
        <v>22</v>
      </c>
      <c r="K13" t="s">
        <v>39</v>
      </c>
      <c r="L13" t="s">
        <v>24</v>
      </c>
      <c r="M13" t="s">
        <v>51</v>
      </c>
      <c r="N13" t="s">
        <v>23</v>
      </c>
      <c r="P13" t="s">
        <v>67</v>
      </c>
      <c r="Q13">
        <v>0</v>
      </c>
      <c r="R13">
        <v>0</v>
      </c>
      <c r="S13">
        <f t="shared" si="1"/>
        <v>9</v>
      </c>
      <c r="T13">
        <f t="shared" si="2"/>
        <v>6</v>
      </c>
      <c r="U13" s="4" t="str">
        <f t="shared" si="0"/>
        <v>9-6</v>
      </c>
    </row>
    <row r="14" spans="1:27" hidden="1" x14ac:dyDescent="0.25">
      <c r="A14" s="4">
        <v>16</v>
      </c>
      <c r="B14" s="4" t="s">
        <v>71</v>
      </c>
      <c r="C14" s="5">
        <v>46053</v>
      </c>
      <c r="D14" s="6">
        <v>0.75694444444444398</v>
      </c>
      <c r="E14" t="s">
        <v>72</v>
      </c>
      <c r="F14" s="7">
        <v>1</v>
      </c>
      <c r="G14">
        <v>5</v>
      </c>
      <c r="H14" t="s">
        <v>21</v>
      </c>
      <c r="I14" t="s">
        <v>44</v>
      </c>
      <c r="J14" t="s">
        <v>22</v>
      </c>
      <c r="K14" t="s">
        <v>39</v>
      </c>
      <c r="L14" t="s">
        <v>24</v>
      </c>
      <c r="M14" t="s">
        <v>55</v>
      </c>
      <c r="N14" t="s">
        <v>30</v>
      </c>
      <c r="O14" t="s">
        <v>67</v>
      </c>
      <c r="P14" t="s">
        <v>46</v>
      </c>
      <c r="Q14">
        <v>2</v>
      </c>
      <c r="R14">
        <v>0</v>
      </c>
      <c r="S14">
        <f t="shared" si="1"/>
        <v>11</v>
      </c>
      <c r="T14">
        <f t="shared" si="2"/>
        <v>6</v>
      </c>
      <c r="U14" s="4" t="str">
        <f t="shared" si="0"/>
        <v>11-6</v>
      </c>
    </row>
    <row r="15" spans="1:27" hidden="1" x14ac:dyDescent="0.25">
      <c r="A15" s="4">
        <v>16</v>
      </c>
      <c r="B15" s="4" t="s">
        <v>71</v>
      </c>
      <c r="C15" s="5">
        <v>46053</v>
      </c>
      <c r="D15" s="6">
        <v>0.75694444444444398</v>
      </c>
      <c r="E15" t="s">
        <v>72</v>
      </c>
      <c r="F15" s="7">
        <v>1</v>
      </c>
      <c r="G15">
        <v>4</v>
      </c>
      <c r="H15" t="s">
        <v>21</v>
      </c>
      <c r="I15" t="s">
        <v>44</v>
      </c>
      <c r="J15" t="s">
        <v>22</v>
      </c>
      <c r="K15" t="s">
        <v>39</v>
      </c>
      <c r="L15" t="s">
        <v>24</v>
      </c>
      <c r="M15" t="s">
        <v>45</v>
      </c>
      <c r="N15" t="s">
        <v>59</v>
      </c>
      <c r="P15" t="s">
        <v>48</v>
      </c>
      <c r="Q15">
        <v>0</v>
      </c>
      <c r="R15">
        <v>0</v>
      </c>
      <c r="S15">
        <f t="shared" si="1"/>
        <v>11</v>
      </c>
      <c r="T15">
        <f t="shared" si="2"/>
        <v>6</v>
      </c>
      <c r="U15" s="4" t="str">
        <f t="shared" si="0"/>
        <v>11-6</v>
      </c>
    </row>
    <row r="16" spans="1:27" s="8" customFormat="1" x14ac:dyDescent="0.25">
      <c r="A16" s="28">
        <v>16</v>
      </c>
      <c r="B16" s="28" t="s">
        <v>71</v>
      </c>
      <c r="C16" s="29">
        <v>46053</v>
      </c>
      <c r="D16" s="30">
        <v>0.75694444444444398</v>
      </c>
      <c r="E16" s="8" t="s">
        <v>72</v>
      </c>
      <c r="F16" s="41">
        <v>1</v>
      </c>
      <c r="G16" s="8">
        <v>4</v>
      </c>
      <c r="H16" s="8" t="s">
        <v>21</v>
      </c>
      <c r="I16" s="8" t="s">
        <v>44</v>
      </c>
      <c r="J16" s="8" t="s">
        <v>22</v>
      </c>
      <c r="K16" s="8" t="s">
        <v>39</v>
      </c>
      <c r="L16" s="8" t="s">
        <v>24</v>
      </c>
      <c r="M16" s="8" t="s">
        <v>52</v>
      </c>
      <c r="N16" s="8" t="s">
        <v>23</v>
      </c>
      <c r="P16" s="8" t="s">
        <v>67</v>
      </c>
      <c r="Q16" s="8">
        <v>0</v>
      </c>
      <c r="R16" s="8">
        <v>0</v>
      </c>
      <c r="S16" s="8">
        <f t="shared" si="1"/>
        <v>11</v>
      </c>
      <c r="T16" s="8">
        <f t="shared" si="2"/>
        <v>6</v>
      </c>
      <c r="U16" s="28" t="str">
        <f t="shared" si="0"/>
        <v>11-6</v>
      </c>
      <c r="V16" s="8">
        <v>1</v>
      </c>
    </row>
    <row r="17" spans="1:27" hidden="1" x14ac:dyDescent="0.25">
      <c r="A17" s="4">
        <v>16</v>
      </c>
      <c r="B17" s="4" t="s">
        <v>71</v>
      </c>
      <c r="C17" s="5">
        <v>46053</v>
      </c>
      <c r="D17" s="6">
        <v>0.75694444444444398</v>
      </c>
      <c r="E17" t="s">
        <v>72</v>
      </c>
      <c r="F17" s="7">
        <v>1</v>
      </c>
      <c r="G17">
        <v>4</v>
      </c>
      <c r="H17" t="s">
        <v>21</v>
      </c>
      <c r="I17" t="s">
        <v>22</v>
      </c>
      <c r="J17" t="s">
        <v>57</v>
      </c>
      <c r="K17" t="s">
        <v>39</v>
      </c>
      <c r="L17" t="s">
        <v>24</v>
      </c>
      <c r="M17" t="s">
        <v>45</v>
      </c>
      <c r="N17" t="s">
        <v>23</v>
      </c>
      <c r="P17" t="s">
        <v>40</v>
      </c>
      <c r="Q17">
        <v>0</v>
      </c>
      <c r="R17">
        <v>0</v>
      </c>
      <c r="S17">
        <f t="shared" si="1"/>
        <v>11</v>
      </c>
      <c r="T17">
        <f t="shared" si="2"/>
        <v>6</v>
      </c>
      <c r="U17" s="4" t="str">
        <f t="shared" si="0"/>
        <v>11-6</v>
      </c>
    </row>
    <row r="18" spans="1:27" hidden="1" x14ac:dyDescent="0.25">
      <c r="A18" s="4">
        <v>16</v>
      </c>
      <c r="B18" s="4" t="s">
        <v>71</v>
      </c>
      <c r="C18" s="5">
        <v>46053</v>
      </c>
      <c r="D18" s="6">
        <v>0.75694444444444398</v>
      </c>
      <c r="E18" t="s">
        <v>72</v>
      </c>
      <c r="F18" s="7">
        <v>1</v>
      </c>
      <c r="G18">
        <v>3</v>
      </c>
      <c r="H18" t="s">
        <v>21</v>
      </c>
      <c r="I18" t="s">
        <v>22</v>
      </c>
      <c r="J18" t="s">
        <v>57</v>
      </c>
      <c r="K18" t="s">
        <v>62</v>
      </c>
      <c r="L18" t="s">
        <v>24</v>
      </c>
      <c r="M18" t="s">
        <v>55</v>
      </c>
      <c r="N18" t="s">
        <v>56</v>
      </c>
      <c r="P18" t="s">
        <v>33</v>
      </c>
      <c r="Q18">
        <v>2</v>
      </c>
      <c r="R18">
        <v>0</v>
      </c>
      <c r="S18">
        <f t="shared" si="1"/>
        <v>13</v>
      </c>
      <c r="T18">
        <f t="shared" si="2"/>
        <v>6</v>
      </c>
      <c r="U18" s="4" t="str">
        <f t="shared" si="0"/>
        <v>13-6</v>
      </c>
    </row>
    <row r="19" spans="1:27" hidden="1" x14ac:dyDescent="0.25">
      <c r="A19" s="4">
        <v>16</v>
      </c>
      <c r="B19" s="4" t="s">
        <v>71</v>
      </c>
      <c r="C19" s="5">
        <v>46053</v>
      </c>
      <c r="D19" s="6">
        <v>0.75694444444444398</v>
      </c>
      <c r="E19" t="s">
        <v>72</v>
      </c>
      <c r="F19" s="7">
        <v>1</v>
      </c>
      <c r="G19">
        <v>3</v>
      </c>
      <c r="H19" t="s">
        <v>21</v>
      </c>
      <c r="I19" t="s">
        <v>22</v>
      </c>
      <c r="J19" t="s">
        <v>57</v>
      </c>
      <c r="K19" t="s">
        <v>62</v>
      </c>
      <c r="L19" t="s">
        <v>24</v>
      </c>
      <c r="M19" t="s">
        <v>42</v>
      </c>
      <c r="N19" t="s">
        <v>34</v>
      </c>
      <c r="P19" t="s">
        <v>67</v>
      </c>
      <c r="Q19">
        <v>0</v>
      </c>
      <c r="R19">
        <v>0</v>
      </c>
      <c r="S19">
        <f t="shared" si="1"/>
        <v>13</v>
      </c>
      <c r="T19">
        <f t="shared" si="2"/>
        <v>6</v>
      </c>
      <c r="U19" s="4" t="str">
        <f t="shared" si="0"/>
        <v>13-6</v>
      </c>
    </row>
    <row r="20" spans="1:27" hidden="1" x14ac:dyDescent="0.25">
      <c r="A20" s="4">
        <v>16</v>
      </c>
      <c r="B20" s="4" t="s">
        <v>71</v>
      </c>
      <c r="C20" s="5">
        <v>46053</v>
      </c>
      <c r="D20" s="6">
        <v>0.75694444444444398</v>
      </c>
      <c r="E20" t="s">
        <v>72</v>
      </c>
      <c r="F20" s="7">
        <v>1</v>
      </c>
      <c r="G20">
        <v>3</v>
      </c>
      <c r="H20" t="s">
        <v>50</v>
      </c>
      <c r="I20" t="s">
        <v>22</v>
      </c>
      <c r="J20" t="s">
        <v>57</v>
      </c>
      <c r="K20" t="s">
        <v>62</v>
      </c>
      <c r="L20" t="s">
        <v>24</v>
      </c>
      <c r="M20" t="s">
        <v>64</v>
      </c>
      <c r="N20" t="s">
        <v>23</v>
      </c>
      <c r="P20" t="s">
        <v>48</v>
      </c>
      <c r="Q20">
        <v>0</v>
      </c>
      <c r="R20">
        <v>0</v>
      </c>
      <c r="S20">
        <f t="shared" si="1"/>
        <v>13</v>
      </c>
      <c r="T20">
        <f t="shared" si="2"/>
        <v>6</v>
      </c>
      <c r="U20" s="4" t="str">
        <f t="shared" si="0"/>
        <v>13-6</v>
      </c>
    </row>
    <row r="21" spans="1:27" x14ac:dyDescent="0.25">
      <c r="A21" s="4">
        <v>16</v>
      </c>
      <c r="B21" s="4" t="s">
        <v>71</v>
      </c>
      <c r="C21" s="5">
        <v>46053</v>
      </c>
      <c r="D21" s="6">
        <v>0.75694444444444398</v>
      </c>
      <c r="E21" t="s">
        <v>72</v>
      </c>
      <c r="F21" s="7">
        <v>1</v>
      </c>
      <c r="G21">
        <v>2</v>
      </c>
      <c r="H21" t="s">
        <v>50</v>
      </c>
      <c r="I21" t="s">
        <v>22</v>
      </c>
      <c r="J21" t="s">
        <v>57</v>
      </c>
      <c r="K21" t="s">
        <v>62</v>
      </c>
      <c r="L21" t="s">
        <v>24</v>
      </c>
      <c r="M21" t="s">
        <v>52</v>
      </c>
      <c r="N21" t="s">
        <v>56</v>
      </c>
      <c r="P21" t="s">
        <v>67</v>
      </c>
      <c r="Q21">
        <v>0</v>
      </c>
      <c r="R21">
        <v>0</v>
      </c>
      <c r="S21">
        <f t="shared" si="1"/>
        <v>13</v>
      </c>
      <c r="T21">
        <f t="shared" si="2"/>
        <v>6</v>
      </c>
      <c r="U21" s="4" t="str">
        <f t="shared" si="0"/>
        <v>13-6</v>
      </c>
      <c r="V21">
        <v>1</v>
      </c>
    </row>
    <row r="22" spans="1:27" hidden="1" x14ac:dyDescent="0.25">
      <c r="A22" s="4">
        <v>16</v>
      </c>
      <c r="B22" s="4" t="s">
        <v>71</v>
      </c>
      <c r="C22" s="5">
        <v>46053</v>
      </c>
      <c r="D22" s="6">
        <v>0.75694444444444398</v>
      </c>
      <c r="E22" t="s">
        <v>72</v>
      </c>
      <c r="F22" s="7">
        <v>1</v>
      </c>
      <c r="G22">
        <v>2</v>
      </c>
      <c r="H22" t="s">
        <v>50</v>
      </c>
      <c r="I22" t="s">
        <v>22</v>
      </c>
      <c r="J22" t="s">
        <v>57</v>
      </c>
      <c r="K22" t="s">
        <v>62</v>
      </c>
      <c r="L22" t="s">
        <v>24</v>
      </c>
      <c r="M22" t="s">
        <v>42</v>
      </c>
      <c r="N22" t="s">
        <v>30</v>
      </c>
      <c r="O22" t="s">
        <v>63</v>
      </c>
      <c r="P22" t="s">
        <v>60</v>
      </c>
      <c r="Q22">
        <v>2</v>
      </c>
      <c r="R22">
        <v>0</v>
      </c>
      <c r="S22">
        <f t="shared" si="1"/>
        <v>15</v>
      </c>
      <c r="T22">
        <f t="shared" si="2"/>
        <v>6</v>
      </c>
      <c r="U22" s="4" t="str">
        <f t="shared" si="0"/>
        <v>15-6</v>
      </c>
    </row>
    <row r="23" spans="1:27" hidden="1" x14ac:dyDescent="0.25">
      <c r="A23" s="4">
        <v>16</v>
      </c>
      <c r="B23" s="4" t="s">
        <v>71</v>
      </c>
      <c r="C23" s="5">
        <v>46053</v>
      </c>
      <c r="D23" s="6">
        <v>0.75694444444444398</v>
      </c>
      <c r="E23" t="s">
        <v>72</v>
      </c>
      <c r="F23" s="7">
        <v>1</v>
      </c>
      <c r="G23">
        <v>1</v>
      </c>
      <c r="H23" t="s">
        <v>50</v>
      </c>
      <c r="I23" t="s">
        <v>22</v>
      </c>
      <c r="J23" t="s">
        <v>57</v>
      </c>
      <c r="K23" t="s">
        <v>62</v>
      </c>
      <c r="L23" t="s">
        <v>24</v>
      </c>
      <c r="M23" t="s">
        <v>55</v>
      </c>
      <c r="N23" t="s">
        <v>30</v>
      </c>
      <c r="P23" t="s">
        <v>67</v>
      </c>
      <c r="Q23">
        <v>2</v>
      </c>
      <c r="R23">
        <v>0</v>
      </c>
      <c r="S23">
        <f t="shared" si="1"/>
        <v>17</v>
      </c>
      <c r="T23">
        <f t="shared" si="2"/>
        <v>6</v>
      </c>
      <c r="U23" s="4" t="str">
        <f t="shared" si="0"/>
        <v>17-6</v>
      </c>
    </row>
    <row r="24" spans="1:27" hidden="1" x14ac:dyDescent="0.25">
      <c r="A24" s="4">
        <v>16</v>
      </c>
      <c r="B24" s="4" t="s">
        <v>71</v>
      </c>
      <c r="C24" s="5">
        <v>46053</v>
      </c>
      <c r="D24" s="6">
        <v>0.75694444444444398</v>
      </c>
      <c r="E24" t="s">
        <v>72</v>
      </c>
      <c r="F24" s="7">
        <v>1</v>
      </c>
      <c r="G24">
        <v>1</v>
      </c>
      <c r="H24" t="s">
        <v>50</v>
      </c>
      <c r="I24" t="s">
        <v>22</v>
      </c>
      <c r="J24" t="s">
        <v>57</v>
      </c>
      <c r="K24" t="s">
        <v>62</v>
      </c>
      <c r="L24" t="s">
        <v>24</v>
      </c>
      <c r="M24" t="s">
        <v>61</v>
      </c>
      <c r="N24" t="s">
        <v>32</v>
      </c>
      <c r="P24" t="s">
        <v>48</v>
      </c>
      <c r="Q24">
        <v>0</v>
      </c>
      <c r="R24">
        <v>2</v>
      </c>
      <c r="S24">
        <f t="shared" si="1"/>
        <v>17</v>
      </c>
      <c r="T24">
        <f t="shared" si="2"/>
        <v>8</v>
      </c>
      <c r="U24" s="4" t="str">
        <f t="shared" si="0"/>
        <v>17-8</v>
      </c>
    </row>
    <row r="25" spans="1:27" hidden="1" x14ac:dyDescent="0.25">
      <c r="A25" s="4">
        <v>16</v>
      </c>
      <c r="B25" s="4" t="s">
        <v>71</v>
      </c>
      <c r="C25" s="5">
        <v>46053</v>
      </c>
      <c r="D25" s="6">
        <v>0.75694444444444398</v>
      </c>
      <c r="E25" t="s">
        <v>72</v>
      </c>
      <c r="F25" s="7">
        <v>1</v>
      </c>
      <c r="G25">
        <v>0</v>
      </c>
      <c r="H25" t="s">
        <v>50</v>
      </c>
      <c r="I25" t="s">
        <v>22</v>
      </c>
      <c r="J25" t="s">
        <v>57</v>
      </c>
      <c r="K25" t="s">
        <v>62</v>
      </c>
      <c r="L25" t="s">
        <v>24</v>
      </c>
      <c r="M25" t="s">
        <v>74</v>
      </c>
      <c r="N25" t="s">
        <v>69</v>
      </c>
      <c r="P25" t="s">
        <v>48</v>
      </c>
      <c r="Q25">
        <v>3</v>
      </c>
      <c r="R25">
        <v>1</v>
      </c>
      <c r="S25">
        <f t="shared" si="1"/>
        <v>20</v>
      </c>
      <c r="T25">
        <f t="shared" si="2"/>
        <v>9</v>
      </c>
      <c r="U25" s="4" t="str">
        <f t="shared" si="0"/>
        <v>20-9</v>
      </c>
      <c r="X25">
        <v>1</v>
      </c>
      <c r="AA25">
        <v>1</v>
      </c>
    </row>
    <row r="26" spans="1:27" hidden="1" x14ac:dyDescent="0.25">
      <c r="A26" s="4">
        <v>16</v>
      </c>
      <c r="B26" s="4" t="s">
        <v>71</v>
      </c>
      <c r="C26" s="5">
        <v>46053</v>
      </c>
      <c r="D26" s="6">
        <v>0.75694444444444398</v>
      </c>
      <c r="E26" t="s">
        <v>72</v>
      </c>
      <c r="F26" s="7">
        <v>1</v>
      </c>
      <c r="G26" s="7">
        <v>0</v>
      </c>
      <c r="H26" s="7" t="s">
        <v>50</v>
      </c>
      <c r="I26" s="7" t="s">
        <v>22</v>
      </c>
      <c r="J26" s="7" t="s">
        <v>57</v>
      </c>
      <c r="K26" s="7" t="s">
        <v>62</v>
      </c>
      <c r="L26" s="7" t="s">
        <v>24</v>
      </c>
      <c r="M26" s="7" t="s">
        <v>65</v>
      </c>
      <c r="N26" s="7" t="s">
        <v>59</v>
      </c>
      <c r="O26" s="7"/>
      <c r="P26" s="7" t="s">
        <v>63</v>
      </c>
      <c r="Q26" s="7">
        <v>0</v>
      </c>
      <c r="R26" s="7">
        <v>0</v>
      </c>
      <c r="S26" s="7">
        <f t="shared" si="1"/>
        <v>20</v>
      </c>
      <c r="T26" s="7">
        <f t="shared" si="2"/>
        <v>9</v>
      </c>
      <c r="U26" s="7" t="str">
        <f t="shared" si="0"/>
        <v>20-9</v>
      </c>
    </row>
    <row r="27" spans="1:27" hidden="1" x14ac:dyDescent="0.25">
      <c r="A27" s="4">
        <v>16</v>
      </c>
      <c r="B27" s="4" t="s">
        <v>71</v>
      </c>
      <c r="C27" s="5">
        <v>46053</v>
      </c>
      <c r="D27" s="6">
        <v>0.75694444444444398</v>
      </c>
      <c r="E27" t="s">
        <v>72</v>
      </c>
      <c r="F27" s="11">
        <v>2</v>
      </c>
      <c r="G27">
        <v>9</v>
      </c>
      <c r="H27" t="s">
        <v>50</v>
      </c>
      <c r="I27" t="s">
        <v>44</v>
      </c>
      <c r="J27" t="s">
        <v>39</v>
      </c>
      <c r="K27" t="s">
        <v>47</v>
      </c>
      <c r="L27" t="s">
        <v>43</v>
      </c>
      <c r="M27" t="s">
        <v>45</v>
      </c>
      <c r="N27" t="s">
        <v>23</v>
      </c>
      <c r="P27" t="s">
        <v>63</v>
      </c>
      <c r="Q27">
        <v>0</v>
      </c>
      <c r="R27">
        <v>0</v>
      </c>
      <c r="S27">
        <f t="shared" ref="S27" si="3">S26+Q27</f>
        <v>20</v>
      </c>
      <c r="T27">
        <f t="shared" ref="T27" si="4">T26+R27</f>
        <v>9</v>
      </c>
      <c r="U27" s="4" t="str">
        <f t="shared" ref="U27" si="5">S27&amp;"-"&amp;T27</f>
        <v>20-9</v>
      </c>
      <c r="X27">
        <v>1</v>
      </c>
    </row>
    <row r="28" spans="1:27" hidden="1" x14ac:dyDescent="0.25">
      <c r="A28" s="4">
        <v>16</v>
      </c>
      <c r="B28" s="4" t="s">
        <v>71</v>
      </c>
      <c r="C28" s="5">
        <v>46053</v>
      </c>
      <c r="D28" s="6">
        <v>0.75694444444444398</v>
      </c>
      <c r="E28" t="s">
        <v>72</v>
      </c>
      <c r="F28" s="11">
        <v>2</v>
      </c>
      <c r="G28">
        <v>8</v>
      </c>
      <c r="H28" t="s">
        <v>50</v>
      </c>
      <c r="I28" t="s">
        <v>44</v>
      </c>
      <c r="J28" t="s">
        <v>39</v>
      </c>
      <c r="K28" t="s">
        <v>47</v>
      </c>
      <c r="L28" t="s">
        <v>43</v>
      </c>
      <c r="M28" t="s">
        <v>42</v>
      </c>
      <c r="N28" t="s">
        <v>32</v>
      </c>
      <c r="P28" t="s">
        <v>63</v>
      </c>
      <c r="Q28">
        <v>0</v>
      </c>
      <c r="R28">
        <v>0</v>
      </c>
      <c r="S28">
        <f t="shared" ref="S28" si="6">S27+Q28</f>
        <v>20</v>
      </c>
      <c r="T28">
        <f t="shared" ref="T28" si="7">T27+R28</f>
        <v>9</v>
      </c>
      <c r="U28" s="4" t="str">
        <f t="shared" si="0"/>
        <v>20-9</v>
      </c>
      <c r="X28">
        <v>3</v>
      </c>
    </row>
    <row r="29" spans="1:27" hidden="1" x14ac:dyDescent="0.25">
      <c r="A29" s="4">
        <v>16</v>
      </c>
      <c r="B29" s="4" t="s">
        <v>71</v>
      </c>
      <c r="C29" s="5">
        <v>46053</v>
      </c>
      <c r="D29" s="6">
        <v>0.75694444444444398</v>
      </c>
      <c r="E29" t="s">
        <v>72</v>
      </c>
      <c r="F29" s="11">
        <v>2</v>
      </c>
      <c r="G29">
        <v>7</v>
      </c>
      <c r="H29" t="s">
        <v>21</v>
      </c>
      <c r="I29" t="s">
        <v>44</v>
      </c>
      <c r="J29" t="s">
        <v>39</v>
      </c>
      <c r="K29" t="s">
        <v>47</v>
      </c>
      <c r="L29" t="s">
        <v>43</v>
      </c>
      <c r="M29" t="s">
        <v>42</v>
      </c>
      <c r="N29" t="s">
        <v>34</v>
      </c>
      <c r="P29" t="s">
        <v>46</v>
      </c>
      <c r="Q29">
        <v>0</v>
      </c>
      <c r="R29">
        <v>0</v>
      </c>
      <c r="S29">
        <f t="shared" si="1"/>
        <v>20</v>
      </c>
      <c r="T29">
        <f t="shared" si="2"/>
        <v>9</v>
      </c>
      <c r="U29" s="4" t="str">
        <f t="shared" si="0"/>
        <v>20-9</v>
      </c>
      <c r="X29">
        <v>1</v>
      </c>
    </row>
    <row r="30" spans="1:27" hidden="1" x14ac:dyDescent="0.25">
      <c r="A30" s="4">
        <v>16</v>
      </c>
      <c r="B30" s="4" t="s">
        <v>71</v>
      </c>
      <c r="C30" s="5">
        <v>46053</v>
      </c>
      <c r="D30" s="6">
        <v>0.75694444444444398</v>
      </c>
      <c r="E30" t="s">
        <v>72</v>
      </c>
      <c r="F30" s="11">
        <v>2</v>
      </c>
      <c r="G30">
        <v>7</v>
      </c>
      <c r="H30" t="s">
        <v>21</v>
      </c>
      <c r="I30" t="s">
        <v>44</v>
      </c>
      <c r="J30" t="s">
        <v>39</v>
      </c>
      <c r="K30" t="s">
        <v>47</v>
      </c>
      <c r="L30" t="s">
        <v>43</v>
      </c>
      <c r="M30" t="s">
        <v>64</v>
      </c>
      <c r="N30" t="s">
        <v>30</v>
      </c>
      <c r="P30" t="s">
        <v>40</v>
      </c>
      <c r="Q30">
        <v>2</v>
      </c>
      <c r="R30">
        <v>0</v>
      </c>
      <c r="S30">
        <f t="shared" si="1"/>
        <v>22</v>
      </c>
      <c r="T30">
        <f t="shared" si="2"/>
        <v>9</v>
      </c>
      <c r="U30" s="4" t="str">
        <f t="shared" si="0"/>
        <v>22-9</v>
      </c>
    </row>
    <row r="31" spans="1:27" s="8" customFormat="1" hidden="1" x14ac:dyDescent="0.25">
      <c r="A31" s="28">
        <v>16</v>
      </c>
      <c r="B31" s="28" t="s">
        <v>71</v>
      </c>
      <c r="C31" s="29">
        <v>46053</v>
      </c>
      <c r="D31" s="30">
        <v>0.75694444444444398</v>
      </c>
      <c r="E31" s="8" t="s">
        <v>72</v>
      </c>
      <c r="F31" s="31">
        <v>2</v>
      </c>
      <c r="G31" s="8">
        <v>7</v>
      </c>
      <c r="H31" s="8" t="s">
        <v>21</v>
      </c>
      <c r="I31" s="8" t="s">
        <v>44</v>
      </c>
      <c r="J31" s="8" t="s">
        <v>39</v>
      </c>
      <c r="K31" s="8" t="s">
        <v>47</v>
      </c>
      <c r="L31" s="8" t="s">
        <v>43</v>
      </c>
      <c r="M31" s="8" t="s">
        <v>49</v>
      </c>
      <c r="N31" s="8" t="s">
        <v>30</v>
      </c>
      <c r="P31" s="8" t="s">
        <v>46</v>
      </c>
      <c r="Q31" s="8">
        <v>2</v>
      </c>
      <c r="R31" s="8">
        <v>0</v>
      </c>
      <c r="S31" s="8">
        <f t="shared" si="1"/>
        <v>24</v>
      </c>
      <c r="T31" s="8">
        <f t="shared" si="2"/>
        <v>9</v>
      </c>
      <c r="U31" s="28" t="str">
        <f t="shared" si="0"/>
        <v>24-9</v>
      </c>
    </row>
    <row r="32" spans="1:27" hidden="1" x14ac:dyDescent="0.25">
      <c r="A32" s="4">
        <v>16</v>
      </c>
      <c r="B32" s="4" t="s">
        <v>71</v>
      </c>
      <c r="C32" s="5">
        <v>46053</v>
      </c>
      <c r="D32" s="6">
        <v>0.75694444444444398</v>
      </c>
      <c r="E32" t="s">
        <v>72</v>
      </c>
      <c r="F32" s="11">
        <v>2</v>
      </c>
      <c r="G32">
        <v>6</v>
      </c>
      <c r="H32" t="s">
        <v>21</v>
      </c>
      <c r="I32" t="s">
        <v>44</v>
      </c>
      <c r="J32" t="s">
        <v>39</v>
      </c>
      <c r="K32" t="s">
        <v>47</v>
      </c>
      <c r="L32" t="s">
        <v>43</v>
      </c>
      <c r="M32" t="s">
        <v>55</v>
      </c>
      <c r="N32" t="s">
        <v>30</v>
      </c>
      <c r="P32" t="s">
        <v>40</v>
      </c>
      <c r="Q32">
        <v>3</v>
      </c>
      <c r="R32">
        <v>0</v>
      </c>
      <c r="S32">
        <f t="shared" si="1"/>
        <v>27</v>
      </c>
      <c r="T32">
        <f t="shared" si="2"/>
        <v>9</v>
      </c>
      <c r="U32" s="4" t="str">
        <f t="shared" si="0"/>
        <v>27-9</v>
      </c>
    </row>
    <row r="33" spans="1:24" s="9" customFormat="1" hidden="1" x14ac:dyDescent="0.25">
      <c r="A33" s="4">
        <v>16</v>
      </c>
      <c r="B33" s="4" t="s">
        <v>71</v>
      </c>
      <c r="C33" s="5">
        <v>46053</v>
      </c>
      <c r="D33" s="6">
        <v>0.75694444444444398</v>
      </c>
      <c r="E33" t="s">
        <v>72</v>
      </c>
      <c r="F33" s="21">
        <v>2</v>
      </c>
      <c r="G33">
        <v>6</v>
      </c>
      <c r="H33" t="s">
        <v>21</v>
      </c>
      <c r="I33" t="s">
        <v>44</v>
      </c>
      <c r="J33" t="s">
        <v>75</v>
      </c>
      <c r="K33" t="s">
        <v>47</v>
      </c>
      <c r="L33" t="s">
        <v>43</v>
      </c>
      <c r="M33" t="s">
        <v>45</v>
      </c>
      <c r="N33" t="s">
        <v>32</v>
      </c>
      <c r="O33"/>
      <c r="P33" t="s">
        <v>53</v>
      </c>
      <c r="Q33">
        <v>0</v>
      </c>
      <c r="R33">
        <v>0</v>
      </c>
      <c r="S33">
        <f t="shared" si="1"/>
        <v>27</v>
      </c>
      <c r="T33">
        <f t="shared" si="2"/>
        <v>9</v>
      </c>
      <c r="U33" t="str">
        <f t="shared" si="0"/>
        <v>27-9</v>
      </c>
      <c r="V33"/>
    </row>
    <row r="34" spans="1:24" hidden="1" x14ac:dyDescent="0.25">
      <c r="A34" s="4">
        <v>16</v>
      </c>
      <c r="B34" s="4" t="s">
        <v>71</v>
      </c>
      <c r="C34" s="5">
        <v>46053</v>
      </c>
      <c r="D34" s="6">
        <v>0.75694444444444398</v>
      </c>
      <c r="E34" t="s">
        <v>72</v>
      </c>
      <c r="F34" s="11">
        <v>2</v>
      </c>
      <c r="G34">
        <v>5</v>
      </c>
      <c r="H34" t="s">
        <v>21</v>
      </c>
      <c r="I34" t="s">
        <v>44</v>
      </c>
      <c r="J34" t="s">
        <v>75</v>
      </c>
      <c r="K34" t="s">
        <v>47</v>
      </c>
      <c r="L34" t="s">
        <v>43</v>
      </c>
      <c r="M34" t="s">
        <v>41</v>
      </c>
      <c r="N34" t="s">
        <v>32</v>
      </c>
      <c r="P34" t="s">
        <v>53</v>
      </c>
      <c r="Q34">
        <v>0</v>
      </c>
      <c r="R34">
        <v>0</v>
      </c>
      <c r="S34">
        <f t="shared" si="1"/>
        <v>27</v>
      </c>
      <c r="T34">
        <f t="shared" si="2"/>
        <v>9</v>
      </c>
      <c r="U34" s="4" t="str">
        <f t="shared" si="0"/>
        <v>27-9</v>
      </c>
    </row>
    <row r="35" spans="1:24" s="9" customFormat="1" hidden="1" x14ac:dyDescent="0.25">
      <c r="A35" s="10">
        <v>16</v>
      </c>
      <c r="B35" s="10" t="s">
        <v>71</v>
      </c>
      <c r="C35" s="33">
        <v>46053</v>
      </c>
      <c r="D35" s="34">
        <v>0.75694444444444398</v>
      </c>
      <c r="E35" s="9" t="s">
        <v>72</v>
      </c>
      <c r="F35" s="21">
        <v>2</v>
      </c>
      <c r="G35" s="9">
        <v>5</v>
      </c>
      <c r="H35" s="9" t="s">
        <v>21</v>
      </c>
      <c r="I35" s="9" t="s">
        <v>44</v>
      </c>
      <c r="J35" s="9" t="s">
        <v>75</v>
      </c>
      <c r="K35" s="9" t="s">
        <v>47</v>
      </c>
      <c r="L35" s="9" t="s">
        <v>43</v>
      </c>
      <c r="M35" s="9" t="s">
        <v>45</v>
      </c>
      <c r="N35" s="9" t="s">
        <v>34</v>
      </c>
      <c r="P35" s="9" t="s">
        <v>46</v>
      </c>
      <c r="Q35" s="9">
        <v>0</v>
      </c>
      <c r="R35" s="9">
        <v>0</v>
      </c>
      <c r="S35" s="9">
        <f t="shared" si="1"/>
        <v>27</v>
      </c>
      <c r="T35" s="9">
        <f t="shared" si="2"/>
        <v>9</v>
      </c>
      <c r="U35" s="10" t="str">
        <f t="shared" si="0"/>
        <v>27-9</v>
      </c>
    </row>
    <row r="36" spans="1:24" hidden="1" x14ac:dyDescent="0.25">
      <c r="A36" s="4">
        <v>16</v>
      </c>
      <c r="B36" s="4" t="s">
        <v>71</v>
      </c>
      <c r="C36" s="5">
        <v>46053</v>
      </c>
      <c r="D36" s="6">
        <v>0.75694444444444398</v>
      </c>
      <c r="E36" t="s">
        <v>72</v>
      </c>
      <c r="F36" s="11">
        <v>2</v>
      </c>
      <c r="G36">
        <v>5</v>
      </c>
      <c r="H36" t="s">
        <v>21</v>
      </c>
      <c r="I36" t="s">
        <v>44</v>
      </c>
      <c r="J36" t="s">
        <v>75</v>
      </c>
      <c r="K36" t="s">
        <v>47</v>
      </c>
      <c r="L36" t="s">
        <v>43</v>
      </c>
      <c r="M36" t="s">
        <v>70</v>
      </c>
      <c r="N36" t="s">
        <v>59</v>
      </c>
      <c r="P36" t="s">
        <v>76</v>
      </c>
      <c r="Q36">
        <v>0</v>
      </c>
      <c r="R36">
        <v>2</v>
      </c>
      <c r="S36">
        <f t="shared" si="1"/>
        <v>27</v>
      </c>
      <c r="T36">
        <f t="shared" si="2"/>
        <v>11</v>
      </c>
      <c r="U36" s="4" t="str">
        <f t="shared" si="0"/>
        <v>27-11</v>
      </c>
    </row>
    <row r="37" spans="1:24" hidden="1" x14ac:dyDescent="0.25">
      <c r="A37" s="4">
        <v>16</v>
      </c>
      <c r="B37" s="4" t="s">
        <v>71</v>
      </c>
      <c r="C37" s="5">
        <v>46053</v>
      </c>
      <c r="D37" s="6">
        <v>0.75694444444444398</v>
      </c>
      <c r="E37" t="s">
        <v>72</v>
      </c>
      <c r="F37" s="11">
        <v>2</v>
      </c>
      <c r="G37">
        <v>4</v>
      </c>
      <c r="H37" t="s">
        <v>21</v>
      </c>
      <c r="I37" t="s">
        <v>44</v>
      </c>
      <c r="J37" t="s">
        <v>75</v>
      </c>
      <c r="K37" t="s">
        <v>47</v>
      </c>
      <c r="L37" t="s">
        <v>43</v>
      </c>
      <c r="M37" t="s">
        <v>55</v>
      </c>
      <c r="N37" t="s">
        <v>32</v>
      </c>
      <c r="P37" t="s">
        <v>54</v>
      </c>
      <c r="Q37">
        <v>0</v>
      </c>
      <c r="R37">
        <v>0</v>
      </c>
      <c r="S37">
        <f t="shared" si="1"/>
        <v>27</v>
      </c>
      <c r="T37">
        <f t="shared" si="2"/>
        <v>11</v>
      </c>
      <c r="U37" s="4" t="str">
        <f t="shared" si="0"/>
        <v>27-11</v>
      </c>
    </row>
    <row r="38" spans="1:24" s="8" customFormat="1" hidden="1" x14ac:dyDescent="0.25">
      <c r="A38" s="4">
        <v>16</v>
      </c>
      <c r="B38" s="4" t="s">
        <v>71</v>
      </c>
      <c r="C38" s="5">
        <v>46053</v>
      </c>
      <c r="D38" s="6">
        <v>0.75694444444444398</v>
      </c>
      <c r="E38" t="s">
        <v>72</v>
      </c>
      <c r="F38" s="11">
        <v>2</v>
      </c>
      <c r="G38">
        <v>4</v>
      </c>
      <c r="H38" t="s">
        <v>21</v>
      </c>
      <c r="I38" t="s">
        <v>22</v>
      </c>
      <c r="J38" t="s">
        <v>75</v>
      </c>
      <c r="K38" t="s">
        <v>39</v>
      </c>
      <c r="L38" t="s">
        <v>24</v>
      </c>
      <c r="M38" t="s">
        <v>58</v>
      </c>
      <c r="N38" t="s">
        <v>58</v>
      </c>
      <c r="O38"/>
      <c r="P38"/>
      <c r="Q38">
        <v>0</v>
      </c>
      <c r="R38">
        <v>3</v>
      </c>
      <c r="S38" s="8">
        <f t="shared" si="1"/>
        <v>27</v>
      </c>
      <c r="T38" s="8">
        <f t="shared" si="2"/>
        <v>14</v>
      </c>
      <c r="U38" s="4" t="str">
        <f t="shared" si="0"/>
        <v>27-14</v>
      </c>
    </row>
    <row r="39" spans="1:24" hidden="1" x14ac:dyDescent="0.25">
      <c r="A39" s="4">
        <v>16</v>
      </c>
      <c r="B39" s="4" t="s">
        <v>71</v>
      </c>
      <c r="C39" s="5">
        <v>46053</v>
      </c>
      <c r="D39" s="6">
        <v>0.75694444444444398</v>
      </c>
      <c r="E39" t="s">
        <v>72</v>
      </c>
      <c r="F39" s="11">
        <v>2</v>
      </c>
      <c r="G39">
        <v>4</v>
      </c>
      <c r="H39" t="s">
        <v>21</v>
      </c>
      <c r="I39" t="s">
        <v>22</v>
      </c>
      <c r="J39" t="s">
        <v>75</v>
      </c>
      <c r="K39" t="s">
        <v>39</v>
      </c>
      <c r="L39" t="s">
        <v>24</v>
      </c>
      <c r="M39" t="s">
        <v>61</v>
      </c>
      <c r="N39" t="s">
        <v>32</v>
      </c>
      <c r="P39" t="s">
        <v>48</v>
      </c>
      <c r="Q39">
        <v>0</v>
      </c>
      <c r="R39">
        <v>0</v>
      </c>
      <c r="S39" s="9">
        <f t="shared" si="1"/>
        <v>27</v>
      </c>
      <c r="T39" s="9">
        <f t="shared" si="2"/>
        <v>14</v>
      </c>
      <c r="U39" s="4" t="str">
        <f t="shared" si="0"/>
        <v>27-14</v>
      </c>
    </row>
    <row r="40" spans="1:24" hidden="1" x14ac:dyDescent="0.25">
      <c r="A40" s="4">
        <v>16</v>
      </c>
      <c r="B40" s="4" t="s">
        <v>71</v>
      </c>
      <c r="C40" s="5">
        <v>46053</v>
      </c>
      <c r="D40" s="6">
        <v>0.75694444444444398</v>
      </c>
      <c r="E40" t="s">
        <v>72</v>
      </c>
      <c r="F40" s="11">
        <v>2</v>
      </c>
      <c r="G40">
        <v>3</v>
      </c>
      <c r="H40" t="s">
        <v>21</v>
      </c>
      <c r="I40" t="s">
        <v>22</v>
      </c>
      <c r="J40" t="s">
        <v>75</v>
      </c>
      <c r="K40" t="s">
        <v>39</v>
      </c>
      <c r="L40" t="s">
        <v>24</v>
      </c>
      <c r="M40" t="s">
        <v>45</v>
      </c>
      <c r="N40" t="s">
        <v>34</v>
      </c>
      <c r="P40" t="s">
        <v>67</v>
      </c>
      <c r="Q40">
        <v>0</v>
      </c>
      <c r="R40">
        <v>0</v>
      </c>
      <c r="S40">
        <f t="shared" si="1"/>
        <v>27</v>
      </c>
      <c r="T40">
        <f t="shared" si="2"/>
        <v>14</v>
      </c>
      <c r="U40" s="4" t="str">
        <f t="shared" si="0"/>
        <v>27-14</v>
      </c>
    </row>
    <row r="41" spans="1:24" hidden="1" x14ac:dyDescent="0.25">
      <c r="A41" s="4">
        <v>16</v>
      </c>
      <c r="B41" s="4" t="s">
        <v>71</v>
      </c>
      <c r="C41" s="5">
        <v>46053</v>
      </c>
      <c r="D41" s="6">
        <v>0.75694444444444398</v>
      </c>
      <c r="E41" t="s">
        <v>72</v>
      </c>
      <c r="F41" s="11">
        <v>2</v>
      </c>
      <c r="G41">
        <v>3</v>
      </c>
      <c r="H41" t="s">
        <v>21</v>
      </c>
      <c r="I41" t="s">
        <v>44</v>
      </c>
      <c r="J41" t="s">
        <v>22</v>
      </c>
      <c r="K41" t="s">
        <v>39</v>
      </c>
      <c r="L41" t="s">
        <v>24</v>
      </c>
      <c r="M41" t="s">
        <v>64</v>
      </c>
      <c r="N41" t="s">
        <v>23</v>
      </c>
      <c r="P41" t="s">
        <v>40</v>
      </c>
      <c r="Q41">
        <v>0</v>
      </c>
      <c r="R41">
        <v>0</v>
      </c>
      <c r="S41">
        <f t="shared" si="1"/>
        <v>27</v>
      </c>
      <c r="T41">
        <f t="shared" si="2"/>
        <v>14</v>
      </c>
      <c r="U41" s="4" t="str">
        <f t="shared" si="0"/>
        <v>27-14</v>
      </c>
    </row>
    <row r="42" spans="1:24" s="9" customFormat="1" hidden="1" x14ac:dyDescent="0.25">
      <c r="A42" s="10">
        <v>16</v>
      </c>
      <c r="B42" s="10" t="s">
        <v>71</v>
      </c>
      <c r="C42" s="33">
        <v>46053</v>
      </c>
      <c r="D42" s="34">
        <v>0.75694444444444398</v>
      </c>
      <c r="E42" s="9" t="s">
        <v>72</v>
      </c>
      <c r="F42" s="21">
        <v>2</v>
      </c>
      <c r="G42" s="9">
        <v>3</v>
      </c>
      <c r="H42" s="9" t="s">
        <v>21</v>
      </c>
      <c r="I42" s="9" t="s">
        <v>44</v>
      </c>
      <c r="J42" s="9" t="s">
        <v>22</v>
      </c>
      <c r="K42" s="9" t="s">
        <v>39</v>
      </c>
      <c r="L42" s="9" t="s">
        <v>24</v>
      </c>
      <c r="M42" s="9" t="s">
        <v>64</v>
      </c>
      <c r="N42" s="9" t="s">
        <v>32</v>
      </c>
      <c r="P42" s="9" t="s">
        <v>40</v>
      </c>
      <c r="Q42" s="9">
        <v>0</v>
      </c>
      <c r="R42" s="9">
        <v>2</v>
      </c>
      <c r="S42" s="9">
        <f t="shared" si="1"/>
        <v>27</v>
      </c>
      <c r="T42" s="9">
        <f t="shared" si="2"/>
        <v>16</v>
      </c>
      <c r="U42" s="10" t="str">
        <f t="shared" si="0"/>
        <v>27-16</v>
      </c>
    </row>
    <row r="43" spans="1:24" s="24" customFormat="1" hidden="1" x14ac:dyDescent="0.25">
      <c r="A43" s="23">
        <v>16</v>
      </c>
      <c r="B43" s="23" t="s">
        <v>71</v>
      </c>
      <c r="C43" s="25">
        <v>46053</v>
      </c>
      <c r="D43" s="26">
        <v>0.75694444444444398</v>
      </c>
      <c r="E43" s="24" t="s">
        <v>72</v>
      </c>
      <c r="F43" s="42">
        <v>2</v>
      </c>
      <c r="G43" s="24">
        <v>2</v>
      </c>
      <c r="H43" s="24" t="s">
        <v>21</v>
      </c>
      <c r="I43" s="24" t="s">
        <v>44</v>
      </c>
      <c r="J43" s="24" t="s">
        <v>22</v>
      </c>
      <c r="K43" s="24" t="s">
        <v>39</v>
      </c>
      <c r="L43" s="24" t="s">
        <v>24</v>
      </c>
      <c r="M43" s="24" t="s">
        <v>77</v>
      </c>
      <c r="N43" s="24" t="s">
        <v>23</v>
      </c>
      <c r="P43" s="24" t="s">
        <v>40</v>
      </c>
      <c r="Q43" s="24">
        <v>0</v>
      </c>
      <c r="R43" s="24">
        <v>3</v>
      </c>
      <c r="S43" s="24">
        <f t="shared" si="1"/>
        <v>27</v>
      </c>
      <c r="T43" s="24">
        <f t="shared" si="2"/>
        <v>19</v>
      </c>
      <c r="U43" s="23" t="str">
        <f t="shared" si="0"/>
        <v>27-19</v>
      </c>
    </row>
    <row r="44" spans="1:24" hidden="1" x14ac:dyDescent="0.25">
      <c r="A44" s="4">
        <v>16</v>
      </c>
      <c r="B44" s="4" t="s">
        <v>71</v>
      </c>
      <c r="C44" s="5">
        <v>46053</v>
      </c>
      <c r="D44" s="6">
        <v>0.75694444444444398</v>
      </c>
      <c r="E44" t="s">
        <v>72</v>
      </c>
      <c r="F44" s="11">
        <v>2</v>
      </c>
      <c r="G44">
        <v>2</v>
      </c>
      <c r="H44" s="24" t="s">
        <v>21</v>
      </c>
      <c r="I44" s="24" t="s">
        <v>44</v>
      </c>
      <c r="J44" s="24" t="s">
        <v>22</v>
      </c>
      <c r="K44" s="24" t="s">
        <v>39</v>
      </c>
      <c r="L44" s="24" t="s">
        <v>24</v>
      </c>
      <c r="M44" t="s">
        <v>77</v>
      </c>
      <c r="N44" s="24" t="s">
        <v>59</v>
      </c>
      <c r="P44" s="24" t="s">
        <v>48</v>
      </c>
      <c r="Q44">
        <v>0</v>
      </c>
      <c r="R44">
        <v>0</v>
      </c>
      <c r="S44">
        <f t="shared" si="1"/>
        <v>27</v>
      </c>
      <c r="T44">
        <f t="shared" si="2"/>
        <v>19</v>
      </c>
      <c r="U44" s="4" t="str">
        <f t="shared" si="0"/>
        <v>27-19</v>
      </c>
    </row>
    <row r="45" spans="1:24" hidden="1" x14ac:dyDescent="0.25">
      <c r="A45" s="4">
        <v>16</v>
      </c>
      <c r="B45" s="4" t="s">
        <v>71</v>
      </c>
      <c r="C45" s="5">
        <v>46053</v>
      </c>
      <c r="D45" s="6">
        <v>0.75694444444444398</v>
      </c>
      <c r="E45" t="s">
        <v>72</v>
      </c>
      <c r="F45" s="11">
        <v>2</v>
      </c>
      <c r="G45">
        <v>1</v>
      </c>
      <c r="H45" s="24" t="s">
        <v>21</v>
      </c>
      <c r="I45" s="24" t="s">
        <v>44</v>
      </c>
      <c r="J45" s="24" t="s">
        <v>22</v>
      </c>
      <c r="K45" s="24" t="s">
        <v>39</v>
      </c>
      <c r="L45" s="24" t="s">
        <v>24</v>
      </c>
      <c r="M45" s="24" t="s">
        <v>45</v>
      </c>
      <c r="N45" s="24" t="s">
        <v>59</v>
      </c>
      <c r="P45" s="24" t="s">
        <v>33</v>
      </c>
      <c r="Q45">
        <v>0</v>
      </c>
      <c r="R45">
        <v>0</v>
      </c>
      <c r="S45">
        <f t="shared" si="1"/>
        <v>27</v>
      </c>
      <c r="T45">
        <f t="shared" si="2"/>
        <v>19</v>
      </c>
      <c r="U45" s="4" t="str">
        <f t="shared" si="0"/>
        <v>27-19</v>
      </c>
    </row>
    <row r="46" spans="1:24" hidden="1" x14ac:dyDescent="0.25">
      <c r="A46" s="4">
        <v>16</v>
      </c>
      <c r="B46" s="4" t="s">
        <v>71</v>
      </c>
      <c r="C46" s="5">
        <v>46053</v>
      </c>
      <c r="D46" s="6">
        <v>0.75694444444444398</v>
      </c>
      <c r="E46" t="s">
        <v>72</v>
      </c>
      <c r="F46" s="11">
        <v>2</v>
      </c>
      <c r="G46">
        <v>1</v>
      </c>
      <c r="H46" s="24" t="s">
        <v>21</v>
      </c>
      <c r="I46" s="24" t="s">
        <v>44</v>
      </c>
      <c r="J46" s="24" t="s">
        <v>22</v>
      </c>
      <c r="K46" s="24" t="s">
        <v>39</v>
      </c>
      <c r="L46" s="24" t="s">
        <v>24</v>
      </c>
      <c r="M46" t="s">
        <v>45</v>
      </c>
      <c r="N46" s="24" t="s">
        <v>30</v>
      </c>
      <c r="P46" s="24" t="s">
        <v>67</v>
      </c>
      <c r="Q46">
        <v>2</v>
      </c>
      <c r="R46">
        <v>2</v>
      </c>
      <c r="S46">
        <f t="shared" si="1"/>
        <v>29</v>
      </c>
      <c r="T46">
        <f t="shared" si="2"/>
        <v>21</v>
      </c>
      <c r="U46" s="4" t="str">
        <f t="shared" si="0"/>
        <v>29-21</v>
      </c>
    </row>
    <row r="47" spans="1:24" hidden="1" x14ac:dyDescent="0.25">
      <c r="A47" s="4">
        <v>16</v>
      </c>
      <c r="B47" s="4" t="s">
        <v>71</v>
      </c>
      <c r="C47" s="5">
        <v>46053</v>
      </c>
      <c r="D47" s="6">
        <v>0.75694444444444398</v>
      </c>
      <c r="E47" t="s">
        <v>72</v>
      </c>
      <c r="F47" s="11">
        <v>2</v>
      </c>
      <c r="G47">
        <v>0</v>
      </c>
      <c r="H47" s="24" t="s">
        <v>21</v>
      </c>
      <c r="I47" s="24" t="s">
        <v>44</v>
      </c>
      <c r="J47" s="24" t="s">
        <v>22</v>
      </c>
      <c r="K47" s="24" t="s">
        <v>39</v>
      </c>
      <c r="L47" s="24" t="s">
        <v>24</v>
      </c>
      <c r="M47" t="s">
        <v>42</v>
      </c>
      <c r="N47" t="s">
        <v>56</v>
      </c>
      <c r="P47" t="s">
        <v>33</v>
      </c>
      <c r="Q47">
        <v>0</v>
      </c>
      <c r="R47">
        <v>0</v>
      </c>
      <c r="S47">
        <f>S45+Q47</f>
        <v>27</v>
      </c>
      <c r="T47">
        <f>T45+R47</f>
        <v>19</v>
      </c>
      <c r="U47" s="4" t="str">
        <f t="shared" ref="U47" si="8">S47&amp;"-"&amp;T47</f>
        <v>27-19</v>
      </c>
    </row>
    <row r="48" spans="1:24" s="36" customFormat="1" hidden="1" x14ac:dyDescent="0.25">
      <c r="A48" s="23">
        <v>16</v>
      </c>
      <c r="B48" s="23" t="s">
        <v>71</v>
      </c>
      <c r="C48" s="25">
        <v>46053</v>
      </c>
      <c r="D48" s="26">
        <v>0.75694444444444398</v>
      </c>
      <c r="E48" s="24" t="s">
        <v>72</v>
      </c>
      <c r="F48" s="36">
        <v>2</v>
      </c>
      <c r="G48" s="36">
        <v>0</v>
      </c>
      <c r="H48" s="36" t="s">
        <v>21</v>
      </c>
      <c r="I48" s="36" t="s">
        <v>44</v>
      </c>
      <c r="J48" s="36" t="s">
        <v>22</v>
      </c>
      <c r="K48" s="36" t="s">
        <v>62</v>
      </c>
      <c r="L48" s="36" t="s">
        <v>43</v>
      </c>
      <c r="M48" s="36" t="s">
        <v>49</v>
      </c>
      <c r="N48" s="36" t="s">
        <v>23</v>
      </c>
      <c r="P48" s="36" t="s">
        <v>46</v>
      </c>
      <c r="Q48" s="36">
        <v>0</v>
      </c>
      <c r="R48" s="36">
        <v>0</v>
      </c>
      <c r="S48" s="36">
        <f>S46+Q48</f>
        <v>29</v>
      </c>
      <c r="T48" s="36">
        <f>T46+R48</f>
        <v>21</v>
      </c>
      <c r="U48" s="36" t="str">
        <f t="shared" si="0"/>
        <v>29-21</v>
      </c>
      <c r="X48" s="36">
        <v>1</v>
      </c>
    </row>
    <row r="49" spans="1:22" hidden="1" x14ac:dyDescent="0.25">
      <c r="A49" s="4">
        <v>16</v>
      </c>
      <c r="B49" s="4" t="s">
        <v>71</v>
      </c>
      <c r="C49" s="5">
        <v>46053</v>
      </c>
      <c r="D49" s="6">
        <v>0.75694444444444398</v>
      </c>
      <c r="E49" t="s">
        <v>72</v>
      </c>
      <c r="F49" s="12">
        <v>3</v>
      </c>
      <c r="G49">
        <v>9</v>
      </c>
      <c r="H49" s="24" t="s">
        <v>50</v>
      </c>
      <c r="I49" s="24" t="s">
        <v>22</v>
      </c>
      <c r="J49" s="24" t="s">
        <v>39</v>
      </c>
      <c r="K49" s="24" t="s">
        <v>47</v>
      </c>
      <c r="L49" s="24" t="s">
        <v>24</v>
      </c>
      <c r="M49" s="24" t="s">
        <v>66</v>
      </c>
      <c r="N49" s="24" t="s">
        <v>23</v>
      </c>
      <c r="P49" s="24" t="s">
        <v>40</v>
      </c>
      <c r="Q49">
        <v>0</v>
      </c>
      <c r="R49">
        <v>0</v>
      </c>
      <c r="S49">
        <f t="shared" ref="S49:S62" si="9">S48+Q49</f>
        <v>29</v>
      </c>
      <c r="T49">
        <f t="shared" ref="T49:T62" si="10">T48+R49</f>
        <v>21</v>
      </c>
      <c r="U49" s="4" t="str">
        <f t="shared" si="0"/>
        <v>29-21</v>
      </c>
      <c r="V49">
        <v>1</v>
      </c>
    </row>
    <row r="50" spans="1:22" hidden="1" x14ac:dyDescent="0.25">
      <c r="A50" s="4">
        <v>16</v>
      </c>
      <c r="B50" s="4" t="s">
        <v>71</v>
      </c>
      <c r="C50" s="5">
        <v>46053</v>
      </c>
      <c r="D50" s="6">
        <v>0.75694444444444398</v>
      </c>
      <c r="E50" t="s">
        <v>72</v>
      </c>
      <c r="F50" s="12">
        <v>3</v>
      </c>
      <c r="G50">
        <v>9</v>
      </c>
      <c r="H50" s="24" t="s">
        <v>50</v>
      </c>
      <c r="I50" s="24" t="s">
        <v>22</v>
      </c>
      <c r="J50" s="24" t="s">
        <v>39</v>
      </c>
      <c r="K50" s="24" t="s">
        <v>47</v>
      </c>
      <c r="L50" s="24" t="s">
        <v>24</v>
      </c>
      <c r="M50" t="s">
        <v>64</v>
      </c>
      <c r="N50" s="24" t="s">
        <v>23</v>
      </c>
      <c r="P50" s="24" t="s">
        <v>48</v>
      </c>
      <c r="Q50">
        <v>0</v>
      </c>
      <c r="R50">
        <v>0</v>
      </c>
      <c r="S50">
        <f t="shared" si="9"/>
        <v>29</v>
      </c>
      <c r="T50">
        <f t="shared" si="10"/>
        <v>21</v>
      </c>
      <c r="U50" s="4" t="str">
        <f t="shared" si="0"/>
        <v>29-21</v>
      </c>
      <c r="V50">
        <v>1</v>
      </c>
    </row>
    <row r="51" spans="1:22" x14ac:dyDescent="0.25">
      <c r="A51" s="4">
        <v>16</v>
      </c>
      <c r="B51" s="4" t="s">
        <v>71</v>
      </c>
      <c r="C51" s="5">
        <v>46053</v>
      </c>
      <c r="D51" s="6">
        <v>0.75694444444444398</v>
      </c>
      <c r="E51" t="s">
        <v>72</v>
      </c>
      <c r="F51" s="12">
        <v>3</v>
      </c>
      <c r="G51">
        <v>9</v>
      </c>
      <c r="H51" s="24" t="s">
        <v>50</v>
      </c>
      <c r="I51" s="24" t="s">
        <v>22</v>
      </c>
      <c r="J51" s="24" t="s">
        <v>39</v>
      </c>
      <c r="K51" s="24" t="s">
        <v>47</v>
      </c>
      <c r="L51" s="24" t="s">
        <v>24</v>
      </c>
      <c r="M51" t="s">
        <v>52</v>
      </c>
      <c r="N51" s="24" t="s">
        <v>32</v>
      </c>
      <c r="P51" s="24" t="s">
        <v>40</v>
      </c>
      <c r="Q51">
        <v>0</v>
      </c>
      <c r="R51">
        <v>0</v>
      </c>
      <c r="S51">
        <f t="shared" si="9"/>
        <v>29</v>
      </c>
      <c r="T51">
        <f t="shared" si="10"/>
        <v>21</v>
      </c>
      <c r="U51" s="4" t="str">
        <f t="shared" si="0"/>
        <v>29-21</v>
      </c>
    </row>
    <row r="52" spans="1:22" hidden="1" x14ac:dyDescent="0.25">
      <c r="A52" s="4">
        <v>16</v>
      </c>
      <c r="B52" s="4" t="s">
        <v>71</v>
      </c>
      <c r="C52" s="5">
        <v>46053</v>
      </c>
      <c r="D52" s="6">
        <v>0.75694444444444398</v>
      </c>
      <c r="E52" t="s">
        <v>72</v>
      </c>
      <c r="F52" s="12">
        <v>3</v>
      </c>
      <c r="G52">
        <v>9</v>
      </c>
      <c r="H52" s="24" t="s">
        <v>50</v>
      </c>
      <c r="I52" s="24" t="s">
        <v>22</v>
      </c>
      <c r="J52" s="24" t="s">
        <v>39</v>
      </c>
      <c r="K52" s="24" t="s">
        <v>47</v>
      </c>
      <c r="L52" s="24" t="s">
        <v>24</v>
      </c>
      <c r="M52" t="s">
        <v>65</v>
      </c>
      <c r="N52" s="24" t="s">
        <v>32</v>
      </c>
      <c r="P52" s="24" t="s">
        <v>67</v>
      </c>
      <c r="Q52">
        <v>0</v>
      </c>
      <c r="R52">
        <v>0</v>
      </c>
      <c r="S52">
        <f t="shared" si="9"/>
        <v>29</v>
      </c>
      <c r="T52">
        <f t="shared" si="10"/>
        <v>21</v>
      </c>
      <c r="U52" s="4" t="str">
        <f t="shared" si="0"/>
        <v>29-21</v>
      </c>
    </row>
    <row r="53" spans="1:22" hidden="1" x14ac:dyDescent="0.25">
      <c r="A53" s="4">
        <v>16</v>
      </c>
      <c r="B53" s="4" t="s">
        <v>71</v>
      </c>
      <c r="C53" s="5">
        <v>46053</v>
      </c>
      <c r="D53" s="6">
        <v>0.75694444444444398</v>
      </c>
      <c r="E53" t="s">
        <v>72</v>
      </c>
      <c r="F53" s="12">
        <v>3</v>
      </c>
      <c r="G53">
        <v>8</v>
      </c>
      <c r="H53" s="24" t="s">
        <v>50</v>
      </c>
      <c r="I53" s="24" t="s">
        <v>22</v>
      </c>
      <c r="J53" s="24" t="s">
        <v>39</v>
      </c>
      <c r="K53" s="24" t="s">
        <v>47</v>
      </c>
      <c r="L53" s="24" t="s">
        <v>43</v>
      </c>
      <c r="M53" s="24" t="s">
        <v>49</v>
      </c>
      <c r="N53" s="24" t="s">
        <v>30</v>
      </c>
      <c r="P53" s="24" t="s">
        <v>40</v>
      </c>
      <c r="Q53">
        <v>2</v>
      </c>
      <c r="R53">
        <v>0</v>
      </c>
      <c r="S53">
        <f t="shared" si="9"/>
        <v>31</v>
      </c>
      <c r="T53">
        <f t="shared" si="10"/>
        <v>21</v>
      </c>
      <c r="U53" s="4" t="str">
        <f t="shared" si="0"/>
        <v>31-21</v>
      </c>
    </row>
    <row r="54" spans="1:22" hidden="1" x14ac:dyDescent="0.25">
      <c r="A54" s="4">
        <v>16</v>
      </c>
      <c r="B54" s="4" t="s">
        <v>71</v>
      </c>
      <c r="C54" s="5">
        <v>46053</v>
      </c>
      <c r="D54" s="6">
        <v>0.75694444444444398</v>
      </c>
      <c r="E54" t="s">
        <v>72</v>
      </c>
      <c r="F54" s="12">
        <v>3</v>
      </c>
      <c r="G54">
        <v>8</v>
      </c>
      <c r="H54" s="24" t="s">
        <v>50</v>
      </c>
      <c r="I54" s="24" t="s">
        <v>22</v>
      </c>
      <c r="J54" s="24" t="s">
        <v>39</v>
      </c>
      <c r="K54" s="24" t="s">
        <v>47</v>
      </c>
      <c r="L54" s="24" t="s">
        <v>43</v>
      </c>
      <c r="M54" s="24" t="s">
        <v>55</v>
      </c>
      <c r="N54" s="24" t="s">
        <v>34</v>
      </c>
      <c r="P54" s="24" t="s">
        <v>48</v>
      </c>
      <c r="Q54">
        <v>0</v>
      </c>
      <c r="R54">
        <v>0</v>
      </c>
      <c r="S54">
        <f t="shared" si="9"/>
        <v>31</v>
      </c>
      <c r="T54">
        <f t="shared" si="10"/>
        <v>21</v>
      </c>
      <c r="U54" s="4" t="str">
        <f t="shared" si="0"/>
        <v>31-21</v>
      </c>
    </row>
    <row r="55" spans="1:22" hidden="1" x14ac:dyDescent="0.25">
      <c r="A55" s="4">
        <v>16</v>
      </c>
      <c r="B55" s="4" t="s">
        <v>71</v>
      </c>
      <c r="C55" s="5">
        <v>46053</v>
      </c>
      <c r="D55" s="6">
        <v>0.75694444444444398</v>
      </c>
      <c r="E55" t="s">
        <v>72</v>
      </c>
      <c r="F55" s="12">
        <v>3</v>
      </c>
      <c r="G55">
        <v>8</v>
      </c>
      <c r="H55" s="24" t="s">
        <v>50</v>
      </c>
      <c r="I55" s="24" t="s">
        <v>22</v>
      </c>
      <c r="J55" s="24" t="s">
        <v>39</v>
      </c>
      <c r="K55" s="24" t="s">
        <v>47</v>
      </c>
      <c r="L55" s="24" t="s">
        <v>43</v>
      </c>
      <c r="M55" s="24" t="s">
        <v>64</v>
      </c>
      <c r="N55" s="24" t="s">
        <v>32</v>
      </c>
      <c r="P55" s="24" t="s">
        <v>53</v>
      </c>
      <c r="Q55">
        <v>0</v>
      </c>
      <c r="R55">
        <v>0</v>
      </c>
      <c r="S55">
        <f t="shared" si="9"/>
        <v>31</v>
      </c>
      <c r="T55">
        <f t="shared" si="10"/>
        <v>21</v>
      </c>
      <c r="U55" s="4" t="str">
        <f t="shared" si="0"/>
        <v>31-21</v>
      </c>
    </row>
    <row r="56" spans="1:22" hidden="1" x14ac:dyDescent="0.25">
      <c r="A56" s="4">
        <v>16</v>
      </c>
      <c r="B56" s="4" t="s">
        <v>71</v>
      </c>
      <c r="C56" s="5">
        <v>46053</v>
      </c>
      <c r="D56" s="6">
        <v>0.75694444444444398</v>
      </c>
      <c r="E56" t="s">
        <v>72</v>
      </c>
      <c r="F56" s="12">
        <v>3</v>
      </c>
      <c r="G56">
        <v>8</v>
      </c>
      <c r="H56" s="24" t="s">
        <v>50</v>
      </c>
      <c r="I56" s="24" t="s">
        <v>22</v>
      </c>
      <c r="J56" s="24" t="s">
        <v>39</v>
      </c>
      <c r="K56" s="24" t="s">
        <v>47</v>
      </c>
      <c r="L56" s="24" t="s">
        <v>43</v>
      </c>
      <c r="M56" s="24" t="s">
        <v>49</v>
      </c>
      <c r="N56" s="24" t="s">
        <v>30</v>
      </c>
      <c r="P56" s="24" t="s">
        <v>40</v>
      </c>
      <c r="Q56">
        <v>2</v>
      </c>
      <c r="R56">
        <v>0</v>
      </c>
      <c r="S56">
        <f t="shared" si="9"/>
        <v>33</v>
      </c>
      <c r="T56">
        <f t="shared" si="10"/>
        <v>21</v>
      </c>
      <c r="U56" s="4" t="str">
        <f t="shared" si="0"/>
        <v>33-21</v>
      </c>
    </row>
    <row r="57" spans="1:22" hidden="1" x14ac:dyDescent="0.25">
      <c r="A57" s="4">
        <v>16</v>
      </c>
      <c r="B57" s="4" t="s">
        <v>71</v>
      </c>
      <c r="C57" s="5">
        <v>46053</v>
      </c>
      <c r="D57" s="6">
        <v>0.75694444444444398</v>
      </c>
      <c r="E57" t="s">
        <v>72</v>
      </c>
      <c r="F57" s="12">
        <v>3</v>
      </c>
      <c r="G57">
        <v>7</v>
      </c>
      <c r="H57" s="24" t="s">
        <v>50</v>
      </c>
      <c r="I57" s="24" t="s">
        <v>22</v>
      </c>
      <c r="J57" s="24" t="s">
        <v>39</v>
      </c>
      <c r="K57" s="24" t="s">
        <v>47</v>
      </c>
      <c r="L57" s="24" t="s">
        <v>43</v>
      </c>
      <c r="M57" s="24" t="s">
        <v>55</v>
      </c>
      <c r="N57" s="24" t="s">
        <v>23</v>
      </c>
      <c r="P57" s="24" t="s">
        <v>63</v>
      </c>
      <c r="Q57">
        <v>0</v>
      </c>
      <c r="R57">
        <v>0</v>
      </c>
      <c r="S57">
        <f t="shared" si="9"/>
        <v>33</v>
      </c>
      <c r="T57">
        <f t="shared" si="10"/>
        <v>21</v>
      </c>
      <c r="U57" s="4" t="str">
        <f t="shared" si="0"/>
        <v>33-21</v>
      </c>
    </row>
    <row r="58" spans="1:22" hidden="1" x14ac:dyDescent="0.25">
      <c r="A58" s="4">
        <v>16</v>
      </c>
      <c r="B58" s="4" t="s">
        <v>71</v>
      </c>
      <c r="C58" s="5">
        <v>46053</v>
      </c>
      <c r="D58" s="6">
        <v>0.75694444444444398</v>
      </c>
      <c r="E58" t="s">
        <v>72</v>
      </c>
      <c r="F58" s="12">
        <v>3</v>
      </c>
      <c r="G58">
        <v>7</v>
      </c>
      <c r="H58" s="24" t="s">
        <v>50</v>
      </c>
      <c r="I58" s="24" t="s">
        <v>22</v>
      </c>
      <c r="J58" s="24" t="s">
        <v>39</v>
      </c>
      <c r="K58" s="24" t="s">
        <v>47</v>
      </c>
      <c r="L58" s="24" t="s">
        <v>43</v>
      </c>
      <c r="M58" s="24" t="s">
        <v>41</v>
      </c>
      <c r="N58" s="24" t="s">
        <v>34</v>
      </c>
      <c r="P58" s="24" t="s">
        <v>63</v>
      </c>
      <c r="Q58">
        <v>0</v>
      </c>
      <c r="R58">
        <v>0</v>
      </c>
      <c r="S58">
        <f t="shared" si="9"/>
        <v>33</v>
      </c>
      <c r="T58">
        <f t="shared" si="10"/>
        <v>21</v>
      </c>
      <c r="U58" s="4" t="str">
        <f t="shared" si="0"/>
        <v>33-21</v>
      </c>
    </row>
    <row r="59" spans="1:22" s="8" customFormat="1" hidden="1" x14ac:dyDescent="0.25">
      <c r="A59" s="28">
        <v>16</v>
      </c>
      <c r="B59" s="28" t="s">
        <v>71</v>
      </c>
      <c r="C59" s="29">
        <v>46053</v>
      </c>
      <c r="D59" s="30">
        <v>0.75694444444444398</v>
      </c>
      <c r="E59" s="8" t="s">
        <v>72</v>
      </c>
      <c r="F59" s="43">
        <v>3</v>
      </c>
      <c r="G59" s="8">
        <v>7</v>
      </c>
      <c r="H59" s="8" t="s">
        <v>50</v>
      </c>
      <c r="I59" s="8" t="s">
        <v>44</v>
      </c>
      <c r="J59" s="8" t="s">
        <v>22</v>
      </c>
      <c r="K59" s="8" t="s">
        <v>39</v>
      </c>
      <c r="L59" s="8" t="s">
        <v>43</v>
      </c>
      <c r="M59" s="8" t="s">
        <v>55</v>
      </c>
      <c r="N59" s="8" t="s">
        <v>30</v>
      </c>
      <c r="O59" s="8" t="s">
        <v>40</v>
      </c>
      <c r="P59" s="8" t="s">
        <v>48</v>
      </c>
      <c r="Q59" s="8">
        <v>2</v>
      </c>
      <c r="R59" s="8">
        <v>0</v>
      </c>
      <c r="S59" s="8">
        <f t="shared" si="9"/>
        <v>35</v>
      </c>
      <c r="T59" s="8">
        <f t="shared" si="10"/>
        <v>21</v>
      </c>
      <c r="U59" s="28" t="str">
        <f t="shared" si="0"/>
        <v>35-21</v>
      </c>
    </row>
    <row r="60" spans="1:22" hidden="1" x14ac:dyDescent="0.25">
      <c r="A60" s="4">
        <v>16</v>
      </c>
      <c r="B60" s="4" t="s">
        <v>71</v>
      </c>
      <c r="C60" s="5">
        <v>46053</v>
      </c>
      <c r="D60" s="6">
        <v>0.75694444444444398</v>
      </c>
      <c r="E60" t="s">
        <v>72</v>
      </c>
      <c r="F60" s="12">
        <v>3</v>
      </c>
      <c r="G60">
        <v>6</v>
      </c>
      <c r="H60" s="24" t="s">
        <v>50</v>
      </c>
      <c r="I60" s="24" t="s">
        <v>44</v>
      </c>
      <c r="J60" s="24" t="s">
        <v>22</v>
      </c>
      <c r="K60" s="24" t="s">
        <v>39</v>
      </c>
      <c r="L60" s="24" t="s">
        <v>43</v>
      </c>
      <c r="M60" s="24" t="s">
        <v>45</v>
      </c>
      <c r="N60" s="24" t="s">
        <v>32</v>
      </c>
      <c r="P60" s="24" t="s">
        <v>46</v>
      </c>
      <c r="Q60">
        <v>0</v>
      </c>
      <c r="R60">
        <v>0</v>
      </c>
      <c r="S60">
        <f t="shared" si="9"/>
        <v>35</v>
      </c>
      <c r="T60">
        <f t="shared" si="10"/>
        <v>21</v>
      </c>
      <c r="U60" s="4" t="str">
        <f t="shared" si="0"/>
        <v>35-21</v>
      </c>
    </row>
    <row r="61" spans="1:22" hidden="1" x14ac:dyDescent="0.25">
      <c r="A61" s="4">
        <v>16</v>
      </c>
      <c r="B61" s="4" t="s">
        <v>71</v>
      </c>
      <c r="C61" s="5">
        <v>46053</v>
      </c>
      <c r="D61" s="6">
        <v>0.75694444444444398</v>
      </c>
      <c r="E61" t="s">
        <v>72</v>
      </c>
      <c r="F61" s="12">
        <v>3</v>
      </c>
      <c r="G61">
        <v>6</v>
      </c>
      <c r="H61" s="24" t="s">
        <v>50</v>
      </c>
      <c r="I61" s="24" t="s">
        <v>44</v>
      </c>
      <c r="J61" s="24" t="s">
        <v>22</v>
      </c>
      <c r="K61" s="24" t="s">
        <v>39</v>
      </c>
      <c r="L61" s="24" t="s">
        <v>43</v>
      </c>
      <c r="M61" s="24" t="s">
        <v>65</v>
      </c>
      <c r="N61" s="24" t="s">
        <v>23</v>
      </c>
      <c r="P61" s="24" t="s">
        <v>46</v>
      </c>
      <c r="Q61">
        <v>0</v>
      </c>
      <c r="R61">
        <v>0</v>
      </c>
      <c r="S61">
        <f t="shared" si="9"/>
        <v>35</v>
      </c>
      <c r="T61">
        <f t="shared" si="10"/>
        <v>21</v>
      </c>
      <c r="U61" s="4" t="str">
        <f t="shared" si="0"/>
        <v>35-21</v>
      </c>
    </row>
    <row r="62" spans="1:22" hidden="1" x14ac:dyDescent="0.25">
      <c r="A62" s="4">
        <v>16</v>
      </c>
      <c r="B62" s="4" t="s">
        <v>71</v>
      </c>
      <c r="C62" s="5">
        <v>46053</v>
      </c>
      <c r="D62" s="6">
        <v>0.75694444444444398</v>
      </c>
      <c r="E62" t="s">
        <v>72</v>
      </c>
      <c r="F62" s="12">
        <v>3</v>
      </c>
      <c r="G62">
        <v>5</v>
      </c>
      <c r="H62" s="24" t="s">
        <v>50</v>
      </c>
      <c r="I62" s="24" t="s">
        <v>44</v>
      </c>
      <c r="J62" s="24" t="s">
        <v>22</v>
      </c>
      <c r="K62" s="24" t="s">
        <v>39</v>
      </c>
      <c r="L62" s="24" t="s">
        <v>43</v>
      </c>
      <c r="M62" s="24" t="s">
        <v>49</v>
      </c>
      <c r="N62" s="24" t="s">
        <v>30</v>
      </c>
      <c r="O62" t="s">
        <v>40</v>
      </c>
      <c r="P62" s="24" t="s">
        <v>63</v>
      </c>
      <c r="Q62">
        <v>2</v>
      </c>
      <c r="R62" s="35">
        <v>2</v>
      </c>
      <c r="S62">
        <f t="shared" si="9"/>
        <v>37</v>
      </c>
      <c r="T62">
        <f t="shared" si="10"/>
        <v>23</v>
      </c>
      <c r="U62" s="4" t="str">
        <f t="shared" si="0"/>
        <v>37-23</v>
      </c>
    </row>
    <row r="63" spans="1:22" hidden="1" x14ac:dyDescent="0.25">
      <c r="A63" s="4">
        <v>16</v>
      </c>
      <c r="B63" s="4" t="s">
        <v>71</v>
      </c>
      <c r="C63" s="5">
        <v>46053</v>
      </c>
      <c r="D63" s="6">
        <v>0.75694444444444398</v>
      </c>
      <c r="E63" t="s">
        <v>72</v>
      </c>
      <c r="F63" s="12">
        <v>3</v>
      </c>
      <c r="G63">
        <v>5</v>
      </c>
      <c r="H63" s="24" t="s">
        <v>50</v>
      </c>
      <c r="I63" s="24" t="s">
        <v>44</v>
      </c>
      <c r="J63" s="24" t="s">
        <v>22</v>
      </c>
      <c r="K63" s="24" t="s">
        <v>39</v>
      </c>
      <c r="L63" s="24" t="s">
        <v>43</v>
      </c>
      <c r="M63" s="24" t="s">
        <v>55</v>
      </c>
      <c r="N63" s="24" t="s">
        <v>59</v>
      </c>
      <c r="P63" s="24" t="s">
        <v>54</v>
      </c>
      <c r="Q63">
        <v>0</v>
      </c>
      <c r="R63">
        <v>0</v>
      </c>
      <c r="S63">
        <f t="shared" ref="S63:S92" si="11">S62+Q63</f>
        <v>37</v>
      </c>
      <c r="T63">
        <f t="shared" ref="T63:T92" si="12">T62+R63</f>
        <v>23</v>
      </c>
      <c r="U63" s="4" t="str">
        <f t="shared" ref="U63:U93" si="13">S63&amp;"-"&amp;T63</f>
        <v>37-23</v>
      </c>
      <c r="V63">
        <v>1</v>
      </c>
    </row>
    <row r="64" spans="1:22" x14ac:dyDescent="0.25">
      <c r="A64" s="4">
        <v>16</v>
      </c>
      <c r="B64" s="4" t="s">
        <v>71</v>
      </c>
      <c r="C64" s="5">
        <v>46053</v>
      </c>
      <c r="D64" s="6">
        <v>0.75694444444444398</v>
      </c>
      <c r="E64" t="s">
        <v>72</v>
      </c>
      <c r="F64" s="12">
        <v>3</v>
      </c>
      <c r="G64">
        <v>5</v>
      </c>
      <c r="H64" s="24" t="s">
        <v>50</v>
      </c>
      <c r="I64" s="24" t="s">
        <v>44</v>
      </c>
      <c r="J64" s="24" t="s">
        <v>22</v>
      </c>
      <c r="K64" s="24" t="s">
        <v>39</v>
      </c>
      <c r="L64" s="24" t="s">
        <v>43</v>
      </c>
      <c r="M64" s="24" t="s">
        <v>52</v>
      </c>
      <c r="N64" s="24" t="s">
        <v>32</v>
      </c>
      <c r="P64" s="24" t="s">
        <v>40</v>
      </c>
      <c r="Q64">
        <v>0</v>
      </c>
      <c r="R64">
        <v>2</v>
      </c>
      <c r="S64">
        <f t="shared" si="11"/>
        <v>37</v>
      </c>
      <c r="T64">
        <f t="shared" si="12"/>
        <v>25</v>
      </c>
      <c r="U64" s="4" t="str">
        <f t="shared" si="13"/>
        <v>37-25</v>
      </c>
    </row>
    <row r="65" spans="1:22" hidden="1" x14ac:dyDescent="0.25">
      <c r="A65" s="4">
        <v>16</v>
      </c>
      <c r="B65" s="4" t="s">
        <v>71</v>
      </c>
      <c r="C65" s="5">
        <v>46053</v>
      </c>
      <c r="D65" s="6">
        <v>0.75694444444444398</v>
      </c>
      <c r="E65" t="s">
        <v>72</v>
      </c>
      <c r="F65" s="12">
        <v>3</v>
      </c>
      <c r="G65">
        <v>4</v>
      </c>
      <c r="H65" s="24" t="s">
        <v>21</v>
      </c>
      <c r="I65" s="24" t="s">
        <v>44</v>
      </c>
      <c r="J65" s="24" t="s">
        <v>22</v>
      </c>
      <c r="K65" s="24" t="s">
        <v>62</v>
      </c>
      <c r="L65" s="24" t="s">
        <v>43</v>
      </c>
      <c r="M65" s="24" t="s">
        <v>74</v>
      </c>
      <c r="N65" s="24" t="s">
        <v>23</v>
      </c>
      <c r="P65" s="24" t="s">
        <v>68</v>
      </c>
      <c r="Q65">
        <v>0</v>
      </c>
      <c r="R65">
        <v>0</v>
      </c>
      <c r="S65">
        <f t="shared" si="11"/>
        <v>37</v>
      </c>
      <c r="T65">
        <f t="shared" si="12"/>
        <v>25</v>
      </c>
      <c r="U65" s="4" t="str">
        <f t="shared" si="13"/>
        <v>37-25</v>
      </c>
    </row>
    <row r="66" spans="1:22" x14ac:dyDescent="0.25">
      <c r="A66" s="4">
        <v>16</v>
      </c>
      <c r="B66" s="4" t="s">
        <v>71</v>
      </c>
      <c r="C66" s="5">
        <v>46053</v>
      </c>
      <c r="D66" s="6">
        <v>0.75694444444444398</v>
      </c>
      <c r="E66" t="s">
        <v>72</v>
      </c>
      <c r="F66" s="12">
        <v>3</v>
      </c>
      <c r="G66">
        <v>4</v>
      </c>
      <c r="H66" s="24" t="s">
        <v>21</v>
      </c>
      <c r="I66" s="24" t="s">
        <v>44</v>
      </c>
      <c r="J66" s="24" t="s">
        <v>22</v>
      </c>
      <c r="K66" s="24" t="s">
        <v>62</v>
      </c>
      <c r="L66" s="24" t="s">
        <v>43</v>
      </c>
      <c r="M66" s="24" t="s">
        <v>52</v>
      </c>
      <c r="N66" s="24" t="s">
        <v>32</v>
      </c>
      <c r="P66" s="24" t="s">
        <v>68</v>
      </c>
      <c r="Q66">
        <v>0</v>
      </c>
      <c r="R66">
        <v>3</v>
      </c>
      <c r="S66">
        <f t="shared" si="11"/>
        <v>37</v>
      </c>
      <c r="T66">
        <f t="shared" si="12"/>
        <v>28</v>
      </c>
      <c r="U66" s="4" t="str">
        <f t="shared" si="13"/>
        <v>37-28</v>
      </c>
      <c r="V66">
        <v>1</v>
      </c>
    </row>
    <row r="67" spans="1:22" hidden="1" x14ac:dyDescent="0.25">
      <c r="A67" s="4">
        <v>16</v>
      </c>
      <c r="B67" s="4" t="s">
        <v>71</v>
      </c>
      <c r="C67" s="5">
        <v>46053</v>
      </c>
      <c r="D67" s="6">
        <v>0.75694444444444398</v>
      </c>
      <c r="E67" t="s">
        <v>72</v>
      </c>
      <c r="F67" s="12">
        <v>3</v>
      </c>
      <c r="G67">
        <v>4</v>
      </c>
      <c r="H67" s="24" t="s">
        <v>21</v>
      </c>
      <c r="I67" s="24" t="s">
        <v>44</v>
      </c>
      <c r="J67" s="24" t="s">
        <v>22</v>
      </c>
      <c r="K67" s="24" t="s">
        <v>62</v>
      </c>
      <c r="L67" s="24" t="s">
        <v>43</v>
      </c>
      <c r="M67" s="24" t="s">
        <v>55</v>
      </c>
      <c r="N67" s="24" t="s">
        <v>59</v>
      </c>
      <c r="P67" s="24" t="s">
        <v>46</v>
      </c>
      <c r="Q67">
        <v>0</v>
      </c>
      <c r="R67">
        <v>0</v>
      </c>
      <c r="S67">
        <f t="shared" si="11"/>
        <v>37</v>
      </c>
      <c r="T67">
        <f t="shared" si="12"/>
        <v>28</v>
      </c>
      <c r="U67" s="4" t="str">
        <f t="shared" si="13"/>
        <v>37-28</v>
      </c>
    </row>
    <row r="68" spans="1:22" hidden="1" x14ac:dyDescent="0.25">
      <c r="A68" s="4">
        <v>16</v>
      </c>
      <c r="B68" s="4" t="s">
        <v>71</v>
      </c>
      <c r="C68" s="5">
        <v>46053</v>
      </c>
      <c r="D68" s="6">
        <v>0.75694444444444398</v>
      </c>
      <c r="E68" t="s">
        <v>72</v>
      </c>
      <c r="F68" s="12">
        <v>3</v>
      </c>
      <c r="G68">
        <v>3</v>
      </c>
      <c r="H68" s="24" t="s">
        <v>21</v>
      </c>
      <c r="I68" s="24" t="s">
        <v>44</v>
      </c>
      <c r="J68" s="24" t="s">
        <v>22</v>
      </c>
      <c r="K68" s="24" t="s">
        <v>62</v>
      </c>
      <c r="L68" s="24" t="s">
        <v>43</v>
      </c>
      <c r="M68" s="22" t="s">
        <v>65</v>
      </c>
      <c r="N68" s="24" t="s">
        <v>59</v>
      </c>
      <c r="P68" s="24" t="s">
        <v>48</v>
      </c>
      <c r="Q68">
        <v>0</v>
      </c>
      <c r="R68" s="35">
        <v>0</v>
      </c>
      <c r="S68">
        <f t="shared" si="11"/>
        <v>37</v>
      </c>
      <c r="T68">
        <f t="shared" si="12"/>
        <v>28</v>
      </c>
      <c r="U68" s="4" t="str">
        <f t="shared" si="13"/>
        <v>37-28</v>
      </c>
    </row>
    <row r="69" spans="1:22" x14ac:dyDescent="0.25">
      <c r="A69" s="4">
        <v>16</v>
      </c>
      <c r="B69" s="4" t="s">
        <v>71</v>
      </c>
      <c r="C69" s="5">
        <v>46053</v>
      </c>
      <c r="D69" s="6">
        <v>0.75694444444444398</v>
      </c>
      <c r="E69" t="s">
        <v>72</v>
      </c>
      <c r="F69" s="12">
        <v>3</v>
      </c>
      <c r="G69">
        <v>3</v>
      </c>
      <c r="H69" s="24" t="s">
        <v>21</v>
      </c>
      <c r="I69" s="24" t="s">
        <v>44</v>
      </c>
      <c r="J69" s="24" t="s">
        <v>22</v>
      </c>
      <c r="K69" s="24" t="s">
        <v>62</v>
      </c>
      <c r="L69" s="24" t="s">
        <v>43</v>
      </c>
      <c r="M69" s="24" t="s">
        <v>52</v>
      </c>
      <c r="N69" s="24" t="s">
        <v>32</v>
      </c>
      <c r="P69" s="24" t="s">
        <v>33</v>
      </c>
      <c r="Q69">
        <v>0</v>
      </c>
      <c r="R69" s="35">
        <v>0</v>
      </c>
      <c r="S69">
        <f t="shared" si="11"/>
        <v>37</v>
      </c>
      <c r="T69">
        <f t="shared" si="12"/>
        <v>28</v>
      </c>
      <c r="U69" s="4" t="str">
        <f t="shared" si="13"/>
        <v>37-28</v>
      </c>
    </row>
    <row r="70" spans="1:22" hidden="1" x14ac:dyDescent="0.25">
      <c r="A70" s="4">
        <v>16</v>
      </c>
      <c r="B70" s="4" t="s">
        <v>71</v>
      </c>
      <c r="C70" s="5">
        <v>46053</v>
      </c>
      <c r="D70" s="6">
        <v>0.75694444444444398</v>
      </c>
      <c r="E70" t="s">
        <v>72</v>
      </c>
      <c r="F70" s="12">
        <v>3</v>
      </c>
      <c r="G70">
        <v>3</v>
      </c>
      <c r="H70" s="24" t="s">
        <v>21</v>
      </c>
      <c r="I70" s="24" t="s">
        <v>44</v>
      </c>
      <c r="J70" s="24" t="s">
        <v>57</v>
      </c>
      <c r="K70" s="24" t="s">
        <v>62</v>
      </c>
      <c r="L70" s="24" t="s">
        <v>43</v>
      </c>
      <c r="M70" s="24" t="s">
        <v>42</v>
      </c>
      <c r="N70" s="24" t="s">
        <v>23</v>
      </c>
      <c r="P70" s="24" t="s">
        <v>60</v>
      </c>
      <c r="Q70">
        <v>0</v>
      </c>
      <c r="R70">
        <v>2</v>
      </c>
      <c r="S70">
        <f t="shared" si="11"/>
        <v>37</v>
      </c>
      <c r="T70">
        <f t="shared" si="12"/>
        <v>30</v>
      </c>
      <c r="U70" s="4" t="str">
        <f t="shared" si="13"/>
        <v>37-30</v>
      </c>
    </row>
    <row r="71" spans="1:22" hidden="1" x14ac:dyDescent="0.25">
      <c r="A71" s="4">
        <v>16</v>
      </c>
      <c r="B71" s="4" t="s">
        <v>71</v>
      </c>
      <c r="C71" s="5">
        <v>46053</v>
      </c>
      <c r="D71" s="6">
        <v>0.75694444444444398</v>
      </c>
      <c r="E71" t="s">
        <v>72</v>
      </c>
      <c r="F71" s="12">
        <v>3</v>
      </c>
      <c r="G71">
        <v>2</v>
      </c>
      <c r="H71" s="24" t="s">
        <v>21</v>
      </c>
      <c r="I71" s="24" t="s">
        <v>44</v>
      </c>
      <c r="J71" s="24" t="s">
        <v>57</v>
      </c>
      <c r="K71" s="24" t="s">
        <v>62</v>
      </c>
      <c r="L71" s="24" t="s">
        <v>43</v>
      </c>
      <c r="M71" s="24" t="s">
        <v>61</v>
      </c>
      <c r="N71" s="24" t="s">
        <v>34</v>
      </c>
      <c r="P71" s="24" t="s">
        <v>54</v>
      </c>
      <c r="Q71">
        <v>0</v>
      </c>
      <c r="R71">
        <v>0</v>
      </c>
      <c r="S71">
        <f t="shared" si="11"/>
        <v>37</v>
      </c>
      <c r="T71">
        <f t="shared" si="12"/>
        <v>30</v>
      </c>
      <c r="U71" s="4" t="str">
        <f t="shared" si="13"/>
        <v>37-30</v>
      </c>
    </row>
    <row r="72" spans="1:22" hidden="1" x14ac:dyDescent="0.25">
      <c r="A72" s="4">
        <v>16</v>
      </c>
      <c r="B72" s="4" t="s">
        <v>71</v>
      </c>
      <c r="C72" s="5">
        <v>46053</v>
      </c>
      <c r="D72" s="6">
        <v>0.75694444444444398</v>
      </c>
      <c r="E72" t="s">
        <v>72</v>
      </c>
      <c r="F72" s="12">
        <v>3</v>
      </c>
      <c r="G72">
        <v>2</v>
      </c>
      <c r="H72" s="24" t="s">
        <v>21</v>
      </c>
      <c r="I72" s="24" t="s">
        <v>44</v>
      </c>
      <c r="J72" s="24" t="s">
        <v>57</v>
      </c>
      <c r="K72" s="24" t="s">
        <v>62</v>
      </c>
      <c r="L72" s="24" t="s">
        <v>43</v>
      </c>
      <c r="M72" s="24" t="s">
        <v>78</v>
      </c>
      <c r="N72" s="24" t="s">
        <v>59</v>
      </c>
      <c r="P72" s="24" t="s">
        <v>60</v>
      </c>
      <c r="Q72">
        <v>0</v>
      </c>
      <c r="R72">
        <v>0</v>
      </c>
      <c r="S72">
        <f t="shared" si="11"/>
        <v>37</v>
      </c>
      <c r="T72">
        <f t="shared" si="12"/>
        <v>30</v>
      </c>
      <c r="U72" s="4" t="str">
        <f t="shared" si="13"/>
        <v>37-30</v>
      </c>
    </row>
    <row r="73" spans="1:22" hidden="1" x14ac:dyDescent="0.25">
      <c r="A73" s="4">
        <v>16</v>
      </c>
      <c r="B73" s="4" t="s">
        <v>71</v>
      </c>
      <c r="C73" s="5">
        <v>46053</v>
      </c>
      <c r="D73" s="6">
        <v>0.75694444444444398</v>
      </c>
      <c r="E73" t="s">
        <v>72</v>
      </c>
      <c r="F73" s="12">
        <v>3</v>
      </c>
      <c r="G73">
        <v>2</v>
      </c>
      <c r="H73" s="24" t="s">
        <v>21</v>
      </c>
      <c r="I73" s="24" t="s">
        <v>44</v>
      </c>
      <c r="J73" s="24" t="s">
        <v>57</v>
      </c>
      <c r="K73" s="24" t="s">
        <v>62</v>
      </c>
      <c r="L73" s="24" t="s">
        <v>43</v>
      </c>
      <c r="M73" s="24" t="s">
        <v>49</v>
      </c>
      <c r="N73" s="24" t="s">
        <v>32</v>
      </c>
      <c r="P73" s="24" t="s">
        <v>33</v>
      </c>
      <c r="Q73">
        <v>0</v>
      </c>
      <c r="R73">
        <v>0</v>
      </c>
      <c r="S73">
        <f t="shared" si="11"/>
        <v>37</v>
      </c>
      <c r="T73">
        <f t="shared" si="12"/>
        <v>30</v>
      </c>
      <c r="U73" s="4" t="str">
        <f t="shared" si="13"/>
        <v>37-30</v>
      </c>
    </row>
    <row r="74" spans="1:22" hidden="1" x14ac:dyDescent="0.25">
      <c r="A74" s="4">
        <v>16</v>
      </c>
      <c r="B74" s="4" t="s">
        <v>71</v>
      </c>
      <c r="C74" s="5">
        <v>46053</v>
      </c>
      <c r="D74" s="6">
        <v>0.75694444444444398</v>
      </c>
      <c r="E74" t="s">
        <v>72</v>
      </c>
      <c r="F74" s="12">
        <v>3</v>
      </c>
      <c r="G74">
        <v>2</v>
      </c>
      <c r="H74" s="24" t="s">
        <v>21</v>
      </c>
      <c r="I74" s="24" t="s">
        <v>44</v>
      </c>
      <c r="J74" s="24" t="s">
        <v>57</v>
      </c>
      <c r="K74" s="24" t="s">
        <v>62</v>
      </c>
      <c r="L74" s="24" t="s">
        <v>43</v>
      </c>
      <c r="M74" s="24" t="s">
        <v>41</v>
      </c>
      <c r="N74" s="24" t="s">
        <v>34</v>
      </c>
      <c r="P74" s="24" t="s">
        <v>68</v>
      </c>
      <c r="Q74">
        <v>1</v>
      </c>
      <c r="R74">
        <v>2</v>
      </c>
      <c r="S74">
        <f t="shared" si="11"/>
        <v>38</v>
      </c>
      <c r="T74">
        <f t="shared" si="12"/>
        <v>32</v>
      </c>
      <c r="U74" s="4" t="str">
        <f t="shared" si="13"/>
        <v>38-32</v>
      </c>
    </row>
    <row r="75" spans="1:22" hidden="1" x14ac:dyDescent="0.25">
      <c r="A75" s="4">
        <v>16</v>
      </c>
      <c r="B75" s="4" t="s">
        <v>71</v>
      </c>
      <c r="C75" s="5">
        <v>46053</v>
      </c>
      <c r="D75" s="6">
        <v>0.75694444444444398</v>
      </c>
      <c r="E75" t="s">
        <v>72</v>
      </c>
      <c r="F75" s="12">
        <v>3</v>
      </c>
      <c r="G75">
        <v>1</v>
      </c>
      <c r="H75" s="24" t="s">
        <v>21</v>
      </c>
      <c r="I75" s="24" t="s">
        <v>44</v>
      </c>
      <c r="J75" s="24" t="s">
        <v>57</v>
      </c>
      <c r="K75" s="24" t="s">
        <v>62</v>
      </c>
      <c r="L75" s="24" t="s">
        <v>43</v>
      </c>
      <c r="M75" s="24" t="s">
        <v>61</v>
      </c>
      <c r="N75" s="24" t="s">
        <v>23</v>
      </c>
      <c r="P75" s="24" t="s">
        <v>46</v>
      </c>
      <c r="Q75">
        <v>0</v>
      </c>
      <c r="R75">
        <v>2</v>
      </c>
      <c r="S75">
        <f t="shared" si="11"/>
        <v>38</v>
      </c>
      <c r="T75">
        <f t="shared" si="12"/>
        <v>34</v>
      </c>
      <c r="U75" s="4" t="str">
        <f t="shared" si="13"/>
        <v>38-34</v>
      </c>
    </row>
    <row r="76" spans="1:22" hidden="1" x14ac:dyDescent="0.25">
      <c r="A76" s="4">
        <v>16</v>
      </c>
      <c r="B76" s="4" t="s">
        <v>71</v>
      </c>
      <c r="C76" s="5">
        <v>46053</v>
      </c>
      <c r="D76" s="6">
        <v>0.75694444444444398</v>
      </c>
      <c r="E76" t="s">
        <v>72</v>
      </c>
      <c r="F76" s="12">
        <v>3</v>
      </c>
      <c r="G76">
        <v>1</v>
      </c>
      <c r="H76" s="24" t="s">
        <v>21</v>
      </c>
      <c r="I76" s="24" t="s">
        <v>44</v>
      </c>
      <c r="J76" s="24" t="s">
        <v>57</v>
      </c>
      <c r="K76" s="24" t="s">
        <v>47</v>
      </c>
      <c r="L76" s="24" t="s">
        <v>62</v>
      </c>
      <c r="M76" s="24" t="s">
        <v>66</v>
      </c>
      <c r="N76" s="24" t="s">
        <v>69</v>
      </c>
      <c r="O76" s="24" t="s">
        <v>33</v>
      </c>
      <c r="P76" s="24" t="s">
        <v>60</v>
      </c>
      <c r="Q76">
        <v>3</v>
      </c>
      <c r="R76">
        <v>0</v>
      </c>
      <c r="S76">
        <f t="shared" si="11"/>
        <v>41</v>
      </c>
      <c r="T76">
        <f t="shared" si="12"/>
        <v>34</v>
      </c>
      <c r="U76" s="4" t="str">
        <f t="shared" si="13"/>
        <v>41-34</v>
      </c>
    </row>
    <row r="77" spans="1:22" hidden="1" x14ac:dyDescent="0.25">
      <c r="A77" s="4">
        <v>16</v>
      </c>
      <c r="B77" s="4" t="s">
        <v>71</v>
      </c>
      <c r="C77" s="5">
        <v>46053</v>
      </c>
      <c r="D77" s="6">
        <v>0.75694444444444398</v>
      </c>
      <c r="E77" t="s">
        <v>72</v>
      </c>
      <c r="F77" s="12">
        <v>3</v>
      </c>
      <c r="G77">
        <v>0</v>
      </c>
      <c r="H77" s="24" t="s">
        <v>21</v>
      </c>
      <c r="I77" s="24" t="s">
        <v>44</v>
      </c>
      <c r="J77" s="24" t="s">
        <v>57</v>
      </c>
      <c r="K77" s="24" t="s">
        <v>47</v>
      </c>
      <c r="L77" s="24" t="s">
        <v>62</v>
      </c>
      <c r="M77" s="24" t="s">
        <v>66</v>
      </c>
      <c r="N77" s="24" t="s">
        <v>23</v>
      </c>
      <c r="P77" s="24" t="s">
        <v>60</v>
      </c>
      <c r="Q77">
        <v>0</v>
      </c>
      <c r="R77">
        <v>3</v>
      </c>
      <c r="S77">
        <f t="shared" si="11"/>
        <v>41</v>
      </c>
      <c r="T77">
        <f t="shared" si="12"/>
        <v>37</v>
      </c>
      <c r="U77" s="4" t="str">
        <f t="shared" si="13"/>
        <v>41-37</v>
      </c>
    </row>
    <row r="78" spans="1:22" hidden="1" x14ac:dyDescent="0.25">
      <c r="A78" s="4">
        <v>16</v>
      </c>
      <c r="B78" s="4" t="s">
        <v>71</v>
      </c>
      <c r="C78" s="5">
        <v>46053</v>
      </c>
      <c r="D78" s="6">
        <v>0.75694444444444398</v>
      </c>
      <c r="E78" t="s">
        <v>72</v>
      </c>
      <c r="F78" s="12">
        <v>3</v>
      </c>
      <c r="G78">
        <v>0</v>
      </c>
      <c r="H78" s="24" t="s">
        <v>21</v>
      </c>
      <c r="I78" s="24" t="s">
        <v>44</v>
      </c>
      <c r="J78" s="24" t="s">
        <v>57</v>
      </c>
      <c r="K78" s="24" t="s">
        <v>47</v>
      </c>
      <c r="L78" s="24" t="s">
        <v>62</v>
      </c>
      <c r="M78" s="24" t="s">
        <v>41</v>
      </c>
      <c r="N78" s="24" t="s">
        <v>32</v>
      </c>
      <c r="P78" s="24" t="s">
        <v>46</v>
      </c>
      <c r="Q78">
        <v>0</v>
      </c>
      <c r="R78">
        <v>2</v>
      </c>
      <c r="S78">
        <f>S76+Q78</f>
        <v>41</v>
      </c>
      <c r="T78">
        <f>T76+R78</f>
        <v>36</v>
      </c>
      <c r="U78" s="4" t="str">
        <f t="shared" ref="U78" si="14">S78&amp;"-"&amp;T78</f>
        <v>41-36</v>
      </c>
    </row>
    <row r="79" spans="1:22" hidden="1" x14ac:dyDescent="0.25">
      <c r="A79" s="4">
        <v>16</v>
      </c>
      <c r="B79" s="4" t="s">
        <v>71</v>
      </c>
      <c r="C79" s="5">
        <v>46053</v>
      </c>
      <c r="D79" s="6">
        <v>0.75694444444444398</v>
      </c>
      <c r="E79" t="s">
        <v>72</v>
      </c>
      <c r="F79" s="12">
        <v>3</v>
      </c>
      <c r="G79" s="12">
        <v>0</v>
      </c>
      <c r="H79" s="12" t="s">
        <v>21</v>
      </c>
      <c r="I79" s="12" t="s">
        <v>44</v>
      </c>
      <c r="J79" s="12" t="s">
        <v>57</v>
      </c>
      <c r="K79" s="12" t="s">
        <v>47</v>
      </c>
      <c r="L79" s="12" t="s">
        <v>62</v>
      </c>
      <c r="M79" s="12" t="s">
        <v>41</v>
      </c>
      <c r="N79" s="12" t="s">
        <v>34</v>
      </c>
      <c r="O79" s="12"/>
      <c r="P79" s="12" t="s">
        <v>46</v>
      </c>
      <c r="Q79" s="12">
        <v>2</v>
      </c>
      <c r="R79" s="12">
        <v>0</v>
      </c>
      <c r="S79" s="12">
        <f>S77+Q79</f>
        <v>43</v>
      </c>
      <c r="T79" s="12">
        <f>T77+R79</f>
        <v>37</v>
      </c>
      <c r="U79" s="12" t="str">
        <f t="shared" si="13"/>
        <v>43-37</v>
      </c>
    </row>
    <row r="80" spans="1:22" hidden="1" x14ac:dyDescent="0.25">
      <c r="A80" s="4">
        <v>16</v>
      </c>
      <c r="B80" s="4" t="s">
        <v>71</v>
      </c>
      <c r="C80" s="5">
        <v>46053</v>
      </c>
      <c r="D80" s="6">
        <v>0.75694444444444398</v>
      </c>
      <c r="E80" t="s">
        <v>72</v>
      </c>
      <c r="F80" s="13">
        <v>4</v>
      </c>
      <c r="G80">
        <v>9</v>
      </c>
      <c r="H80" s="24" t="s">
        <v>50</v>
      </c>
      <c r="I80" s="24" t="s">
        <v>22</v>
      </c>
      <c r="J80" s="24" t="s">
        <v>39</v>
      </c>
      <c r="K80" s="24" t="s">
        <v>47</v>
      </c>
      <c r="L80" s="24" t="s">
        <v>24</v>
      </c>
      <c r="M80" s="24" t="s">
        <v>66</v>
      </c>
      <c r="N80" s="24" t="s">
        <v>23</v>
      </c>
      <c r="P80" s="24" t="s">
        <v>40</v>
      </c>
      <c r="Q80">
        <v>0</v>
      </c>
      <c r="R80">
        <v>0</v>
      </c>
      <c r="S80">
        <f t="shared" si="11"/>
        <v>43</v>
      </c>
      <c r="T80">
        <f t="shared" si="12"/>
        <v>37</v>
      </c>
      <c r="U80" s="4" t="str">
        <f t="shared" si="13"/>
        <v>43-37</v>
      </c>
    </row>
    <row r="81" spans="1:27" hidden="1" x14ac:dyDescent="0.25">
      <c r="A81" s="4">
        <v>16</v>
      </c>
      <c r="B81" s="4" t="s">
        <v>71</v>
      </c>
      <c r="C81" s="5">
        <v>46053</v>
      </c>
      <c r="D81" s="6">
        <v>0.75694444444444398</v>
      </c>
      <c r="E81" t="s">
        <v>72</v>
      </c>
      <c r="F81" s="13">
        <v>4</v>
      </c>
      <c r="G81">
        <v>9</v>
      </c>
      <c r="H81" s="24" t="s">
        <v>50</v>
      </c>
      <c r="I81" s="24" t="s">
        <v>22</v>
      </c>
      <c r="J81" s="24" t="s">
        <v>39</v>
      </c>
      <c r="K81" s="24" t="s">
        <v>47</v>
      </c>
      <c r="L81" s="24" t="s">
        <v>24</v>
      </c>
      <c r="M81" s="24" t="s">
        <v>66</v>
      </c>
      <c r="N81" s="24" t="s">
        <v>34</v>
      </c>
      <c r="P81" s="24" t="s">
        <v>40</v>
      </c>
      <c r="Q81">
        <v>0</v>
      </c>
      <c r="R81">
        <v>0</v>
      </c>
      <c r="S81">
        <f t="shared" si="11"/>
        <v>43</v>
      </c>
      <c r="T81">
        <f t="shared" si="12"/>
        <v>37</v>
      </c>
      <c r="U81" s="4" t="str">
        <f t="shared" si="13"/>
        <v>43-37</v>
      </c>
    </row>
    <row r="82" spans="1:27" hidden="1" x14ac:dyDescent="0.25">
      <c r="A82" s="4">
        <v>16</v>
      </c>
      <c r="B82" s="4" t="s">
        <v>71</v>
      </c>
      <c r="C82" s="5">
        <v>46053</v>
      </c>
      <c r="D82" s="6">
        <v>0.75694444444444398</v>
      </c>
      <c r="E82" t="s">
        <v>72</v>
      </c>
      <c r="F82" s="13">
        <v>4</v>
      </c>
      <c r="G82">
        <v>9</v>
      </c>
      <c r="H82" s="24" t="s">
        <v>50</v>
      </c>
      <c r="I82" s="24" t="s">
        <v>22</v>
      </c>
      <c r="J82" s="24" t="s">
        <v>39</v>
      </c>
      <c r="K82" s="24" t="s">
        <v>47</v>
      </c>
      <c r="L82" s="24" t="s">
        <v>24</v>
      </c>
      <c r="M82" s="24" t="s">
        <v>78</v>
      </c>
      <c r="N82" s="24" t="s">
        <v>30</v>
      </c>
      <c r="P82" s="24" t="s">
        <v>53</v>
      </c>
      <c r="Q82">
        <v>2</v>
      </c>
      <c r="R82">
        <v>0</v>
      </c>
      <c r="S82">
        <f t="shared" si="11"/>
        <v>45</v>
      </c>
      <c r="T82">
        <f t="shared" si="12"/>
        <v>37</v>
      </c>
      <c r="U82" s="4" t="str">
        <f t="shared" si="13"/>
        <v>45-37</v>
      </c>
      <c r="V82">
        <v>1</v>
      </c>
    </row>
    <row r="83" spans="1:27" s="8" customFormat="1" x14ac:dyDescent="0.25">
      <c r="A83" s="28">
        <v>16</v>
      </c>
      <c r="B83" s="28" t="s">
        <v>71</v>
      </c>
      <c r="C83" s="29">
        <v>46053</v>
      </c>
      <c r="D83" s="30">
        <v>0.75694444444444398</v>
      </c>
      <c r="E83" s="8" t="s">
        <v>72</v>
      </c>
      <c r="F83" s="44">
        <v>4</v>
      </c>
      <c r="G83" s="8">
        <v>8</v>
      </c>
      <c r="H83" s="8" t="s">
        <v>50</v>
      </c>
      <c r="I83" s="8" t="s">
        <v>22</v>
      </c>
      <c r="J83" s="8" t="s">
        <v>39</v>
      </c>
      <c r="K83" s="8" t="s">
        <v>47</v>
      </c>
      <c r="L83" s="8" t="s">
        <v>24</v>
      </c>
      <c r="M83" s="8" t="s">
        <v>52</v>
      </c>
      <c r="N83" s="8" t="s">
        <v>32</v>
      </c>
      <c r="P83" s="8" t="s">
        <v>67</v>
      </c>
      <c r="Q83" s="8">
        <v>0</v>
      </c>
      <c r="R83" s="8">
        <v>1</v>
      </c>
      <c r="S83" s="8">
        <f t="shared" si="11"/>
        <v>45</v>
      </c>
      <c r="T83" s="8">
        <f t="shared" si="12"/>
        <v>38</v>
      </c>
      <c r="U83" s="28" t="str">
        <f t="shared" si="13"/>
        <v>45-38</v>
      </c>
    </row>
    <row r="84" spans="1:27" hidden="1" x14ac:dyDescent="0.25">
      <c r="A84" s="4">
        <v>16</v>
      </c>
      <c r="B84" s="4" t="s">
        <v>71</v>
      </c>
      <c r="C84" s="5">
        <v>46053</v>
      </c>
      <c r="D84" s="6">
        <v>0.75694444444444398</v>
      </c>
      <c r="E84" t="s">
        <v>72</v>
      </c>
      <c r="F84" s="13">
        <v>4</v>
      </c>
      <c r="G84">
        <v>8</v>
      </c>
      <c r="H84" s="24" t="s">
        <v>50</v>
      </c>
      <c r="I84" s="24" t="s">
        <v>22</v>
      </c>
      <c r="J84" s="24" t="s">
        <v>39</v>
      </c>
      <c r="K84" s="24" t="s">
        <v>47</v>
      </c>
      <c r="L84" s="24" t="s">
        <v>62</v>
      </c>
      <c r="M84" s="24" t="s">
        <v>66</v>
      </c>
      <c r="N84" s="24" t="s">
        <v>23</v>
      </c>
      <c r="P84" s="24" t="s">
        <v>53</v>
      </c>
      <c r="Q84">
        <v>0</v>
      </c>
      <c r="R84">
        <v>0</v>
      </c>
      <c r="S84">
        <f t="shared" si="11"/>
        <v>45</v>
      </c>
      <c r="T84">
        <f t="shared" si="12"/>
        <v>38</v>
      </c>
      <c r="U84" s="4" t="str">
        <f t="shared" si="13"/>
        <v>45-38</v>
      </c>
      <c r="V84">
        <v>1</v>
      </c>
    </row>
    <row r="85" spans="1:27" x14ac:dyDescent="0.25">
      <c r="A85" s="4">
        <v>16</v>
      </c>
      <c r="B85" s="4" t="s">
        <v>71</v>
      </c>
      <c r="C85" s="5">
        <v>46053</v>
      </c>
      <c r="D85" s="6">
        <v>0.75694444444444398</v>
      </c>
      <c r="E85" t="s">
        <v>72</v>
      </c>
      <c r="F85" s="13">
        <v>4</v>
      </c>
      <c r="G85" s="20">
        <v>8</v>
      </c>
      <c r="H85" s="24" t="s">
        <v>50</v>
      </c>
      <c r="I85" s="24" t="s">
        <v>22</v>
      </c>
      <c r="J85" s="24" t="s">
        <v>39</v>
      </c>
      <c r="K85" s="24" t="s">
        <v>47</v>
      </c>
      <c r="L85" s="24" t="s">
        <v>62</v>
      </c>
      <c r="M85" s="24" t="s">
        <v>52</v>
      </c>
      <c r="N85" s="24" t="s">
        <v>23</v>
      </c>
      <c r="P85" s="24" t="s">
        <v>68</v>
      </c>
      <c r="Q85">
        <v>0</v>
      </c>
      <c r="R85">
        <v>2</v>
      </c>
      <c r="S85">
        <f t="shared" si="11"/>
        <v>45</v>
      </c>
      <c r="T85">
        <f t="shared" si="12"/>
        <v>40</v>
      </c>
      <c r="U85" s="4" t="str">
        <f t="shared" si="13"/>
        <v>45-40</v>
      </c>
    </row>
    <row r="86" spans="1:27" hidden="1" x14ac:dyDescent="0.25">
      <c r="A86" s="4">
        <v>16</v>
      </c>
      <c r="B86" s="4" t="s">
        <v>71</v>
      </c>
      <c r="C86" s="5">
        <v>46053</v>
      </c>
      <c r="D86" s="6">
        <v>0.75694444444444398</v>
      </c>
      <c r="E86" t="s">
        <v>72</v>
      </c>
      <c r="F86" s="13">
        <v>4</v>
      </c>
      <c r="G86">
        <v>7</v>
      </c>
      <c r="H86" s="24" t="s">
        <v>50</v>
      </c>
      <c r="I86" s="24" t="s">
        <v>22</v>
      </c>
      <c r="J86" s="24" t="s">
        <v>39</v>
      </c>
      <c r="K86" s="24" t="s">
        <v>47</v>
      </c>
      <c r="L86" s="24" t="s">
        <v>62</v>
      </c>
      <c r="M86" s="24" t="s">
        <v>55</v>
      </c>
      <c r="N86" s="6" t="s">
        <v>32</v>
      </c>
      <c r="P86" s="24" t="s">
        <v>48</v>
      </c>
      <c r="Q86">
        <v>0</v>
      </c>
      <c r="R86">
        <v>0</v>
      </c>
      <c r="S86">
        <f t="shared" si="11"/>
        <v>45</v>
      </c>
      <c r="T86">
        <f t="shared" si="12"/>
        <v>40</v>
      </c>
      <c r="U86" s="4" t="str">
        <f t="shared" si="13"/>
        <v>45-40</v>
      </c>
    </row>
    <row r="87" spans="1:27" s="24" customFormat="1" hidden="1" x14ac:dyDescent="0.25">
      <c r="A87" s="23">
        <v>16</v>
      </c>
      <c r="B87" s="23" t="s">
        <v>71</v>
      </c>
      <c r="C87" s="25">
        <v>46053</v>
      </c>
      <c r="D87" s="26">
        <v>0.75694444444444398</v>
      </c>
      <c r="E87" s="24" t="s">
        <v>72</v>
      </c>
      <c r="F87" s="27">
        <v>4</v>
      </c>
      <c r="G87" s="24">
        <v>7</v>
      </c>
      <c r="H87" s="24" t="s">
        <v>50</v>
      </c>
      <c r="I87" s="24" t="s">
        <v>22</v>
      </c>
      <c r="J87" s="24" t="s">
        <v>39</v>
      </c>
      <c r="K87" s="24" t="s">
        <v>47</v>
      </c>
      <c r="L87" s="24" t="s">
        <v>43</v>
      </c>
      <c r="M87" s="24" t="s">
        <v>55</v>
      </c>
      <c r="N87" s="24" t="s">
        <v>23</v>
      </c>
      <c r="P87" s="24" t="s">
        <v>48</v>
      </c>
      <c r="Q87" s="24">
        <v>0</v>
      </c>
      <c r="R87" s="24">
        <v>0</v>
      </c>
      <c r="S87" s="24">
        <f t="shared" si="11"/>
        <v>45</v>
      </c>
      <c r="T87" s="24">
        <f t="shared" si="12"/>
        <v>40</v>
      </c>
      <c r="U87" s="23" t="str">
        <f t="shared" si="13"/>
        <v>45-40</v>
      </c>
    </row>
    <row r="88" spans="1:27" s="9" customFormat="1" x14ac:dyDescent="0.25">
      <c r="A88" s="10">
        <v>16</v>
      </c>
      <c r="B88" s="10" t="s">
        <v>71</v>
      </c>
      <c r="C88" s="33">
        <v>46053</v>
      </c>
      <c r="D88" s="34">
        <v>0.75694444444444398</v>
      </c>
      <c r="E88" s="9" t="s">
        <v>72</v>
      </c>
      <c r="F88" s="14">
        <v>4</v>
      </c>
      <c r="G88" s="9">
        <v>6</v>
      </c>
      <c r="H88" s="9" t="s">
        <v>50</v>
      </c>
      <c r="I88" s="9" t="s">
        <v>22</v>
      </c>
      <c r="J88" s="9" t="s">
        <v>39</v>
      </c>
      <c r="K88" s="9" t="s">
        <v>47</v>
      </c>
      <c r="L88" s="9" t="s">
        <v>43</v>
      </c>
      <c r="M88" s="9" t="s">
        <v>52</v>
      </c>
      <c r="N88" s="9" t="s">
        <v>59</v>
      </c>
      <c r="P88" s="9" t="s">
        <v>40</v>
      </c>
      <c r="Q88" s="9">
        <v>0</v>
      </c>
      <c r="R88" s="9">
        <v>2</v>
      </c>
      <c r="S88" s="9">
        <f t="shared" si="11"/>
        <v>45</v>
      </c>
      <c r="T88" s="9">
        <f t="shared" si="12"/>
        <v>42</v>
      </c>
      <c r="U88" s="10" t="str">
        <f t="shared" si="13"/>
        <v>45-42</v>
      </c>
      <c r="V88" s="9">
        <v>1</v>
      </c>
      <c r="X88" s="9">
        <v>1</v>
      </c>
      <c r="AA88" s="9">
        <v>2</v>
      </c>
    </row>
    <row r="89" spans="1:27" hidden="1" x14ac:dyDescent="0.25">
      <c r="A89" s="4">
        <v>16</v>
      </c>
      <c r="B89" s="4" t="s">
        <v>71</v>
      </c>
      <c r="C89" s="5">
        <v>46053</v>
      </c>
      <c r="D89" s="6">
        <v>0.75694444444444398</v>
      </c>
      <c r="E89" t="s">
        <v>72</v>
      </c>
      <c r="F89" s="13">
        <v>4</v>
      </c>
      <c r="G89">
        <v>6</v>
      </c>
      <c r="H89" s="24" t="s">
        <v>21</v>
      </c>
      <c r="I89" s="24" t="s">
        <v>44</v>
      </c>
      <c r="J89" s="24" t="s">
        <v>57</v>
      </c>
      <c r="K89" s="24" t="s">
        <v>47</v>
      </c>
      <c r="L89" s="24" t="s">
        <v>43</v>
      </c>
      <c r="M89" s="24" t="s">
        <v>66</v>
      </c>
      <c r="N89" s="24" t="s">
        <v>23</v>
      </c>
      <c r="P89" s="24" t="s">
        <v>33</v>
      </c>
      <c r="Q89">
        <v>0</v>
      </c>
      <c r="R89">
        <v>2</v>
      </c>
      <c r="S89">
        <f t="shared" si="11"/>
        <v>45</v>
      </c>
      <c r="T89">
        <f t="shared" si="12"/>
        <v>44</v>
      </c>
      <c r="U89" s="4" t="str">
        <f t="shared" si="13"/>
        <v>45-44</v>
      </c>
      <c r="V89">
        <v>1</v>
      </c>
    </row>
    <row r="90" spans="1:27" hidden="1" x14ac:dyDescent="0.25">
      <c r="A90" s="4">
        <v>16</v>
      </c>
      <c r="B90" s="4" t="s">
        <v>71</v>
      </c>
      <c r="C90" s="5">
        <v>46053</v>
      </c>
      <c r="D90" s="6">
        <v>0.75694444444444398</v>
      </c>
      <c r="E90" t="s">
        <v>72</v>
      </c>
      <c r="F90" s="13">
        <v>4</v>
      </c>
      <c r="G90">
        <v>6</v>
      </c>
      <c r="H90" s="24" t="s">
        <v>21</v>
      </c>
      <c r="I90" s="24" t="s">
        <v>44</v>
      </c>
      <c r="J90" s="24" t="s">
        <v>57</v>
      </c>
      <c r="K90" s="24" t="s">
        <v>47</v>
      </c>
      <c r="L90" s="24" t="s">
        <v>43</v>
      </c>
      <c r="M90" s="24" t="s">
        <v>77</v>
      </c>
      <c r="N90" s="24" t="s">
        <v>69</v>
      </c>
      <c r="O90" s="24" t="s">
        <v>33</v>
      </c>
      <c r="P90" s="24" t="s">
        <v>46</v>
      </c>
      <c r="Q90">
        <v>3</v>
      </c>
      <c r="R90">
        <v>0</v>
      </c>
      <c r="S90">
        <f t="shared" si="11"/>
        <v>48</v>
      </c>
      <c r="T90">
        <f t="shared" si="12"/>
        <v>44</v>
      </c>
      <c r="U90" s="4" t="str">
        <f t="shared" si="13"/>
        <v>48-44</v>
      </c>
      <c r="X90">
        <v>1</v>
      </c>
      <c r="AA90">
        <v>2</v>
      </c>
    </row>
    <row r="91" spans="1:27" hidden="1" x14ac:dyDescent="0.25">
      <c r="A91" s="4">
        <v>16</v>
      </c>
      <c r="B91" s="4" t="s">
        <v>71</v>
      </c>
      <c r="C91" s="5">
        <v>46053</v>
      </c>
      <c r="D91" s="6">
        <v>0.75694444444444398</v>
      </c>
      <c r="E91" t="s">
        <v>72</v>
      </c>
      <c r="F91" s="13">
        <v>4</v>
      </c>
      <c r="G91">
        <v>5</v>
      </c>
      <c r="H91" s="24" t="s">
        <v>21</v>
      </c>
      <c r="I91" s="24" t="s">
        <v>44</v>
      </c>
      <c r="J91" s="24" t="s">
        <v>57</v>
      </c>
      <c r="K91" s="24" t="s">
        <v>47</v>
      </c>
      <c r="L91" s="24" t="s">
        <v>43</v>
      </c>
      <c r="M91" s="24" t="s">
        <v>51</v>
      </c>
      <c r="N91" s="24" t="s">
        <v>59</v>
      </c>
      <c r="P91" s="24" t="s">
        <v>60</v>
      </c>
      <c r="Q91">
        <v>0</v>
      </c>
      <c r="R91">
        <v>2</v>
      </c>
      <c r="S91">
        <f t="shared" si="11"/>
        <v>48</v>
      </c>
      <c r="T91">
        <f t="shared" si="12"/>
        <v>46</v>
      </c>
      <c r="U91" s="4" t="str">
        <f t="shared" si="13"/>
        <v>48-46</v>
      </c>
    </row>
    <row r="92" spans="1:27" hidden="1" x14ac:dyDescent="0.25">
      <c r="A92" s="4">
        <v>16</v>
      </c>
      <c r="B92" s="4" t="s">
        <v>71</v>
      </c>
      <c r="C92" s="5">
        <v>46053</v>
      </c>
      <c r="D92" s="6">
        <v>0.75694444444444398</v>
      </c>
      <c r="E92" t="s">
        <v>72</v>
      </c>
      <c r="F92" s="13">
        <v>4</v>
      </c>
      <c r="G92">
        <v>4</v>
      </c>
      <c r="H92" s="24" t="s">
        <v>21</v>
      </c>
      <c r="I92" s="24" t="s">
        <v>44</v>
      </c>
      <c r="J92" s="24" t="s">
        <v>57</v>
      </c>
      <c r="K92" s="24" t="s">
        <v>47</v>
      </c>
      <c r="L92" s="24" t="s">
        <v>43</v>
      </c>
      <c r="M92" s="24" t="s">
        <v>66</v>
      </c>
      <c r="N92" s="24" t="s">
        <v>23</v>
      </c>
      <c r="P92" s="24" t="s">
        <v>33</v>
      </c>
      <c r="Q92">
        <v>0</v>
      </c>
      <c r="R92">
        <v>2</v>
      </c>
      <c r="S92">
        <f t="shared" si="11"/>
        <v>48</v>
      </c>
      <c r="T92">
        <f t="shared" si="12"/>
        <v>48</v>
      </c>
      <c r="U92" s="4" t="str">
        <f t="shared" si="13"/>
        <v>48-48</v>
      </c>
    </row>
    <row r="93" spans="1:27" s="9" customFormat="1" hidden="1" x14ac:dyDescent="0.25">
      <c r="A93" s="10">
        <v>16</v>
      </c>
      <c r="B93" s="10" t="s">
        <v>71</v>
      </c>
      <c r="C93" s="33">
        <v>46053</v>
      </c>
      <c r="D93" s="34">
        <v>0.75694444444444398</v>
      </c>
      <c r="E93" s="9" t="s">
        <v>72</v>
      </c>
      <c r="F93" s="14">
        <v>4</v>
      </c>
      <c r="G93" s="9">
        <v>4</v>
      </c>
      <c r="H93" s="9" t="s">
        <v>21</v>
      </c>
      <c r="I93" s="9" t="s">
        <v>44</v>
      </c>
      <c r="J93" s="9" t="s">
        <v>57</v>
      </c>
      <c r="K93" s="9" t="s">
        <v>47</v>
      </c>
      <c r="L93" s="9" t="s">
        <v>43</v>
      </c>
      <c r="M93" s="9" t="s">
        <v>65</v>
      </c>
      <c r="N93" s="9" t="s">
        <v>32</v>
      </c>
      <c r="P93" s="9" t="s">
        <v>60</v>
      </c>
      <c r="Q93" s="9">
        <v>0</v>
      </c>
      <c r="R93" s="9">
        <v>3</v>
      </c>
      <c r="S93">
        <f t="shared" ref="S93:S102" si="15">S92+Q93</f>
        <v>48</v>
      </c>
      <c r="T93">
        <f t="shared" ref="T93:T102" si="16">T92+R93</f>
        <v>51</v>
      </c>
      <c r="U93" s="10" t="str">
        <f t="shared" si="13"/>
        <v>48-51</v>
      </c>
    </row>
    <row r="94" spans="1:27" hidden="1" x14ac:dyDescent="0.25">
      <c r="A94" s="4">
        <v>16</v>
      </c>
      <c r="B94" s="4" t="s">
        <v>71</v>
      </c>
      <c r="C94" s="5">
        <v>46053</v>
      </c>
      <c r="D94" s="6">
        <v>0.75694444444444398</v>
      </c>
      <c r="E94" t="s">
        <v>72</v>
      </c>
      <c r="F94" s="13">
        <v>4</v>
      </c>
      <c r="G94">
        <v>3</v>
      </c>
      <c r="H94" s="24" t="s">
        <v>21</v>
      </c>
      <c r="I94" s="24" t="s">
        <v>44</v>
      </c>
      <c r="J94" s="24" t="s">
        <v>22</v>
      </c>
      <c r="K94" s="24" t="s">
        <v>39</v>
      </c>
      <c r="L94" s="24" t="s">
        <v>43</v>
      </c>
      <c r="M94" s="24" t="s">
        <v>55</v>
      </c>
      <c r="N94" s="24" t="s">
        <v>34</v>
      </c>
      <c r="P94" s="24" t="s">
        <v>40</v>
      </c>
      <c r="Q94">
        <v>2</v>
      </c>
      <c r="R94">
        <v>0</v>
      </c>
      <c r="S94">
        <f t="shared" si="15"/>
        <v>50</v>
      </c>
      <c r="T94">
        <f t="shared" si="16"/>
        <v>51</v>
      </c>
      <c r="U94" s="4" t="str">
        <f t="shared" ref="U94:U102" si="17">S94&amp;"-"&amp;T94</f>
        <v>50-51</v>
      </c>
    </row>
    <row r="95" spans="1:27" hidden="1" x14ac:dyDescent="0.25">
      <c r="A95" s="4">
        <v>16</v>
      </c>
      <c r="B95" s="4" t="s">
        <v>71</v>
      </c>
      <c r="C95" s="5">
        <v>46053</v>
      </c>
      <c r="D95" s="6">
        <v>0.75694444444444398</v>
      </c>
      <c r="E95" t="s">
        <v>72</v>
      </c>
      <c r="F95" s="13">
        <v>4</v>
      </c>
      <c r="G95">
        <v>3</v>
      </c>
      <c r="H95" s="24" t="s">
        <v>21</v>
      </c>
      <c r="I95" s="24" t="s">
        <v>44</v>
      </c>
      <c r="J95" s="24" t="s">
        <v>22</v>
      </c>
      <c r="K95" s="24" t="s">
        <v>39</v>
      </c>
      <c r="L95" s="24" t="s">
        <v>43</v>
      </c>
      <c r="M95" s="24" t="s">
        <v>42</v>
      </c>
      <c r="N95" s="24" t="s">
        <v>30</v>
      </c>
      <c r="P95" s="24" t="s">
        <v>48</v>
      </c>
      <c r="Q95">
        <v>2</v>
      </c>
      <c r="R95">
        <v>0</v>
      </c>
      <c r="S95">
        <f t="shared" si="15"/>
        <v>52</v>
      </c>
      <c r="T95">
        <f t="shared" si="16"/>
        <v>51</v>
      </c>
      <c r="U95" s="4" t="str">
        <f t="shared" si="17"/>
        <v>52-51</v>
      </c>
    </row>
    <row r="96" spans="1:27" s="32" customFormat="1" hidden="1" x14ac:dyDescent="0.25">
      <c r="A96" s="4">
        <v>16</v>
      </c>
      <c r="B96" s="4" t="s">
        <v>71</v>
      </c>
      <c r="C96" s="5">
        <v>46053</v>
      </c>
      <c r="D96" s="6">
        <v>0.75694444444444398</v>
      </c>
      <c r="E96" t="s">
        <v>72</v>
      </c>
      <c r="F96" s="13">
        <v>4</v>
      </c>
      <c r="G96">
        <v>2</v>
      </c>
      <c r="H96" s="24" t="s">
        <v>21</v>
      </c>
      <c r="I96" s="24" t="s">
        <v>44</v>
      </c>
      <c r="J96" s="24" t="s">
        <v>22</v>
      </c>
      <c r="K96" s="24" t="s">
        <v>39</v>
      </c>
      <c r="L96" s="24" t="s">
        <v>43</v>
      </c>
      <c r="M96" s="24" t="s">
        <v>42</v>
      </c>
      <c r="N96" s="24" t="s">
        <v>32</v>
      </c>
      <c r="O96" s="24"/>
      <c r="P96" s="24" t="s">
        <v>48</v>
      </c>
      <c r="Q96" s="24">
        <v>0</v>
      </c>
      <c r="R96" s="24">
        <v>0</v>
      </c>
      <c r="S96">
        <f t="shared" si="15"/>
        <v>52</v>
      </c>
      <c r="T96">
        <f t="shared" si="16"/>
        <v>51</v>
      </c>
      <c r="U96" s="4" t="str">
        <f t="shared" si="17"/>
        <v>52-51</v>
      </c>
    </row>
    <row r="97" spans="1:22" hidden="1" x14ac:dyDescent="0.25">
      <c r="A97" s="4">
        <v>16</v>
      </c>
      <c r="B97" s="4" t="s">
        <v>71</v>
      </c>
      <c r="C97" s="5">
        <v>46053</v>
      </c>
      <c r="D97" s="6">
        <v>0.75694444444444398</v>
      </c>
      <c r="E97" t="s">
        <v>72</v>
      </c>
      <c r="F97" s="13">
        <v>4</v>
      </c>
      <c r="G97">
        <v>2</v>
      </c>
      <c r="H97" s="24" t="s">
        <v>21</v>
      </c>
      <c r="I97" s="24" t="s">
        <v>44</v>
      </c>
      <c r="J97" s="24" t="s">
        <v>22</v>
      </c>
      <c r="K97" s="24" t="s">
        <v>39</v>
      </c>
      <c r="L97" s="24" t="s">
        <v>43</v>
      </c>
      <c r="M97" s="24" t="s">
        <v>42</v>
      </c>
      <c r="N97" s="24" t="s">
        <v>59</v>
      </c>
      <c r="P97" s="24" t="s">
        <v>33</v>
      </c>
      <c r="Q97">
        <v>0</v>
      </c>
      <c r="R97">
        <v>0</v>
      </c>
      <c r="S97">
        <f t="shared" si="15"/>
        <v>52</v>
      </c>
      <c r="T97">
        <f t="shared" si="16"/>
        <v>51</v>
      </c>
      <c r="U97" s="4" t="str">
        <f t="shared" si="17"/>
        <v>52-51</v>
      </c>
    </row>
    <row r="98" spans="1:22" s="24" customFormat="1" x14ac:dyDescent="0.25">
      <c r="A98" s="4">
        <v>16</v>
      </c>
      <c r="B98" s="4" t="s">
        <v>71</v>
      </c>
      <c r="C98" s="5">
        <v>46053</v>
      </c>
      <c r="D98" s="6">
        <v>0.75694444444444398</v>
      </c>
      <c r="E98" t="s">
        <v>72</v>
      </c>
      <c r="F98" s="27">
        <v>4</v>
      </c>
      <c r="G98" s="24">
        <v>2</v>
      </c>
      <c r="H98" s="24" t="s">
        <v>21</v>
      </c>
      <c r="I98" s="24" t="s">
        <v>44</v>
      </c>
      <c r="J98" s="24" t="s">
        <v>22</v>
      </c>
      <c r="K98" s="24" t="s">
        <v>39</v>
      </c>
      <c r="L98" s="24" t="s">
        <v>43</v>
      </c>
      <c r="M98" s="24" t="s">
        <v>52</v>
      </c>
      <c r="N98" s="24" t="s">
        <v>59</v>
      </c>
      <c r="P98" s="24" t="s">
        <v>48</v>
      </c>
      <c r="Q98" s="24">
        <v>0</v>
      </c>
      <c r="R98" s="24">
        <v>0</v>
      </c>
      <c r="S98">
        <f t="shared" si="15"/>
        <v>52</v>
      </c>
      <c r="T98">
        <f t="shared" si="16"/>
        <v>51</v>
      </c>
      <c r="U98" s="4" t="str">
        <f t="shared" si="17"/>
        <v>52-51</v>
      </c>
      <c r="V98" s="24">
        <v>1</v>
      </c>
    </row>
    <row r="99" spans="1:22" s="9" customFormat="1" hidden="1" x14ac:dyDescent="0.25">
      <c r="A99" s="4">
        <v>16</v>
      </c>
      <c r="B99" s="4" t="s">
        <v>71</v>
      </c>
      <c r="C99" s="5">
        <v>46053</v>
      </c>
      <c r="D99" s="6">
        <v>0.75694444444444398</v>
      </c>
      <c r="E99" t="s">
        <v>72</v>
      </c>
      <c r="F99" s="27">
        <v>4</v>
      </c>
      <c r="G99" s="24">
        <v>1</v>
      </c>
      <c r="H99" s="24" t="s">
        <v>21</v>
      </c>
      <c r="I99" s="24" t="s">
        <v>44</v>
      </c>
      <c r="J99" s="24" t="s">
        <v>22</v>
      </c>
      <c r="K99" s="24" t="s">
        <v>39</v>
      </c>
      <c r="L99" s="24" t="s">
        <v>43</v>
      </c>
      <c r="M99" s="24" t="s">
        <v>42</v>
      </c>
      <c r="N99" s="24" t="s">
        <v>59</v>
      </c>
      <c r="P99" s="24" t="s">
        <v>46</v>
      </c>
      <c r="Q99" s="24">
        <v>0</v>
      </c>
      <c r="R99" s="24">
        <v>2</v>
      </c>
      <c r="S99" s="24">
        <f t="shared" si="15"/>
        <v>52</v>
      </c>
      <c r="T99" s="24">
        <f t="shared" si="16"/>
        <v>53</v>
      </c>
      <c r="U99" s="24" t="str">
        <f t="shared" si="17"/>
        <v>52-53</v>
      </c>
    </row>
    <row r="100" spans="1:22" s="9" customFormat="1" hidden="1" x14ac:dyDescent="0.25">
      <c r="A100" s="10">
        <v>16</v>
      </c>
      <c r="B100" s="10" t="s">
        <v>71</v>
      </c>
      <c r="C100" s="33">
        <v>46053</v>
      </c>
      <c r="D100" s="34">
        <v>0.75694444444444398</v>
      </c>
      <c r="E100" s="9" t="s">
        <v>72</v>
      </c>
      <c r="F100" s="14">
        <v>4</v>
      </c>
      <c r="G100" s="9">
        <v>0</v>
      </c>
      <c r="H100" s="9" t="s">
        <v>21</v>
      </c>
      <c r="I100" s="9" t="s">
        <v>44</v>
      </c>
      <c r="J100" s="9" t="s">
        <v>22</v>
      </c>
      <c r="K100" s="9" t="s">
        <v>39</v>
      </c>
      <c r="L100" s="9" t="s">
        <v>43</v>
      </c>
      <c r="M100" s="9" t="s">
        <v>65</v>
      </c>
      <c r="N100" s="9" t="s">
        <v>34</v>
      </c>
      <c r="P100" s="9" t="s">
        <v>48</v>
      </c>
      <c r="Q100" s="9">
        <v>2</v>
      </c>
      <c r="R100" s="9">
        <v>2</v>
      </c>
      <c r="S100" s="9">
        <f t="shared" si="15"/>
        <v>54</v>
      </c>
      <c r="T100" s="9">
        <f t="shared" si="16"/>
        <v>55</v>
      </c>
      <c r="U100" s="10" t="str">
        <f t="shared" si="17"/>
        <v>54-55</v>
      </c>
    </row>
    <row r="101" spans="1:22" s="32" customFormat="1" hidden="1" x14ac:dyDescent="0.25">
      <c r="A101" s="37">
        <v>16</v>
      </c>
      <c r="B101" s="37" t="s">
        <v>71</v>
      </c>
      <c r="C101" s="38">
        <v>46053</v>
      </c>
      <c r="D101" s="39">
        <v>0.75694444444444398</v>
      </c>
      <c r="E101" s="32" t="s">
        <v>72</v>
      </c>
      <c r="F101" s="40">
        <v>4</v>
      </c>
      <c r="G101" s="32">
        <v>0</v>
      </c>
      <c r="H101" s="32" t="s">
        <v>21</v>
      </c>
      <c r="I101" s="32" t="s">
        <v>44</v>
      </c>
      <c r="J101" s="32" t="s">
        <v>22</v>
      </c>
      <c r="K101" s="32" t="s">
        <v>39</v>
      </c>
      <c r="L101" s="32" t="s">
        <v>43</v>
      </c>
      <c r="M101" s="32" t="s">
        <v>70</v>
      </c>
      <c r="N101" s="32" t="s">
        <v>30</v>
      </c>
      <c r="P101" s="32" t="s">
        <v>46</v>
      </c>
      <c r="Q101" s="32">
        <v>2</v>
      </c>
      <c r="R101" s="32">
        <v>0</v>
      </c>
      <c r="S101" s="32">
        <f t="shared" si="15"/>
        <v>56</v>
      </c>
      <c r="T101" s="32">
        <f t="shared" si="16"/>
        <v>55</v>
      </c>
      <c r="U101" s="37" t="str">
        <f t="shared" si="17"/>
        <v>56-55</v>
      </c>
    </row>
    <row r="102" spans="1:22" s="13" customFormat="1" hidden="1" x14ac:dyDescent="0.25">
      <c r="A102" s="45">
        <v>16</v>
      </c>
      <c r="B102" s="45" t="s">
        <v>71</v>
      </c>
      <c r="C102" s="46">
        <v>46053</v>
      </c>
      <c r="D102" s="47">
        <v>0.75694444444444398</v>
      </c>
      <c r="E102" s="13" t="s">
        <v>72</v>
      </c>
      <c r="F102" s="13">
        <v>4</v>
      </c>
      <c r="G102" s="13">
        <v>0</v>
      </c>
      <c r="H102" s="27" t="s">
        <v>21</v>
      </c>
      <c r="I102" s="27" t="s">
        <v>44</v>
      </c>
      <c r="J102" s="27" t="s">
        <v>22</v>
      </c>
      <c r="K102" s="27" t="s">
        <v>39</v>
      </c>
      <c r="L102" s="27" t="s">
        <v>43</v>
      </c>
      <c r="M102" s="27" t="s">
        <v>41</v>
      </c>
      <c r="N102" s="27" t="s">
        <v>34</v>
      </c>
      <c r="P102" s="27" t="s">
        <v>33</v>
      </c>
      <c r="Q102" s="13">
        <v>2</v>
      </c>
      <c r="R102" s="13">
        <v>0</v>
      </c>
      <c r="S102" s="13">
        <f t="shared" si="15"/>
        <v>58</v>
      </c>
      <c r="T102" s="13">
        <f t="shared" si="16"/>
        <v>55</v>
      </c>
      <c r="U102" s="45" t="str">
        <f t="shared" si="17"/>
        <v>58-55</v>
      </c>
    </row>
    <row r="103" spans="1:22" hidden="1" x14ac:dyDescent="0.25">
      <c r="C103" s="5"/>
      <c r="D103" s="6"/>
    </row>
    <row r="104" spans="1:22" hidden="1" x14ac:dyDescent="0.25">
      <c r="A104" s="4"/>
      <c r="C104" s="5"/>
      <c r="D104" s="6"/>
    </row>
    <row r="105" spans="1:22" hidden="1" x14ac:dyDescent="0.25">
      <c r="A105" s="4"/>
      <c r="C105" s="5"/>
      <c r="D105" s="6"/>
    </row>
    <row r="109" spans="1:22" x14ac:dyDescent="0.25">
      <c r="F109" s="4"/>
    </row>
  </sheetData>
  <autoFilter ref="A1:AB105" xr:uid="{93034ED9-F3C0-42F8-8C99-E681B16A3183}">
    <filterColumn colId="12">
      <filters>
        <filter val="RO"/>
      </filters>
    </filterColumn>
  </autoFilter>
  <phoneticPr fontId="9" type="noConversion"/>
  <hyperlinks>
    <hyperlink ref="B2" r:id="rId1" display="https://baloncestoenvivo.feb.es/Equipo.aspx?i=980023" xr:uid="{9B840B8F-7FF1-4A6C-A824-0F0D7A4B24A4}"/>
    <hyperlink ref="B3" r:id="rId2" display="https://baloncestoenvivo.feb.es/Equipo.aspx?i=980023" xr:uid="{0784A0F5-255A-4A9D-9A93-C387FC18FB25}"/>
    <hyperlink ref="B4" r:id="rId3" display="https://baloncestoenvivo.feb.es/Equipo.aspx?i=980023" xr:uid="{BAED7825-7303-4A95-B0CC-694C125CFC8B}"/>
    <hyperlink ref="B6" r:id="rId4" display="https://baloncestoenvivo.feb.es/Equipo.aspx?i=980023" xr:uid="{D1F0A833-518C-49AA-9268-C6F13150121A}"/>
    <hyperlink ref="B8" r:id="rId5" display="https://baloncestoenvivo.feb.es/Equipo.aspx?i=980023" xr:uid="{BF34209E-5D5C-49AD-B56F-F7ACBE5678B0}"/>
    <hyperlink ref="B10" r:id="rId6" display="https://baloncestoenvivo.feb.es/Equipo.aspx?i=980023" xr:uid="{F6C26796-A49A-424F-90A1-EB132E2DCE98}"/>
    <hyperlink ref="B12" r:id="rId7" display="https://baloncestoenvivo.feb.es/Equipo.aspx?i=980023" xr:uid="{8F53B8FD-FD10-41A3-B8C3-A61183BCA992}"/>
    <hyperlink ref="B14" r:id="rId8" display="https://baloncestoenvivo.feb.es/Equipo.aspx?i=980023" xr:uid="{521C52E1-7DBB-407C-8BCE-2B0CF145A571}"/>
    <hyperlink ref="B16" r:id="rId9" display="https://baloncestoenvivo.feb.es/Equipo.aspx?i=980023" xr:uid="{E59B3533-F214-4F5B-A549-E1940C58415E}"/>
    <hyperlink ref="B18" r:id="rId10" display="https://baloncestoenvivo.feb.es/Equipo.aspx?i=980023" xr:uid="{165949E6-4B3E-40C6-9748-0EB53C82DF02}"/>
    <hyperlink ref="B20" r:id="rId11" display="https://baloncestoenvivo.feb.es/Equipo.aspx?i=980023" xr:uid="{82DD32E6-50F8-4B68-8A18-CB89B2A22589}"/>
    <hyperlink ref="B22" r:id="rId12" display="https://baloncestoenvivo.feb.es/Equipo.aspx?i=980023" xr:uid="{DA249F15-5103-4B3B-ADD4-0F3640CCED83}"/>
    <hyperlink ref="B24" r:id="rId13" display="https://baloncestoenvivo.feb.es/Equipo.aspx?i=980023" xr:uid="{E6243280-9870-43C6-8951-A7DBB982CED1}"/>
    <hyperlink ref="B26" r:id="rId14" display="https://baloncestoenvivo.feb.es/Equipo.aspx?i=980023" xr:uid="{89686FC9-4A24-40CF-A5A1-DE94FA1EC46B}"/>
    <hyperlink ref="B27" r:id="rId15" display="https://baloncestoenvivo.feb.es/Equipo.aspx?i=980023" xr:uid="{DEFAD664-E07F-4B9F-BF0F-FB010A564967}"/>
    <hyperlink ref="B29" r:id="rId16" display="https://baloncestoenvivo.feb.es/Equipo.aspx?i=980023" xr:uid="{C2F5CB21-21C8-412F-9D19-A4A0BDCBF22E}"/>
    <hyperlink ref="B31" r:id="rId17" display="https://baloncestoenvivo.feb.es/Equipo.aspx?i=980023" xr:uid="{5A149756-59AD-4023-B9A5-4F24781E2F42}"/>
    <hyperlink ref="B33" r:id="rId18" display="https://baloncestoenvivo.feb.es/Equipo.aspx?i=980023" xr:uid="{0028E417-7E8D-4E2E-B02A-726D0C570CAC}"/>
    <hyperlink ref="B35" r:id="rId19" display="https://baloncestoenvivo.feb.es/Equipo.aspx?i=980023" xr:uid="{E00A37A2-FAA6-4595-A4A8-046EB1281BD7}"/>
    <hyperlink ref="B37" r:id="rId20" display="https://baloncestoenvivo.feb.es/Equipo.aspx?i=980023" xr:uid="{DAC0A137-998A-4E2C-BAC6-4158EF8DEAA1}"/>
    <hyperlink ref="B39" r:id="rId21" display="https://baloncestoenvivo.feb.es/Equipo.aspx?i=980023" xr:uid="{28C84D59-CF77-4D40-AFA8-9A7E119D89A9}"/>
    <hyperlink ref="B41" r:id="rId22" display="https://baloncestoenvivo.feb.es/Equipo.aspx?i=980023" xr:uid="{666C3FA7-95B5-4624-A111-56E1634FC937}"/>
    <hyperlink ref="B43" r:id="rId23" display="https://baloncestoenvivo.feb.es/Equipo.aspx?i=980023" xr:uid="{5C00583F-88CE-487C-9CF4-F7E8FF61A591}"/>
    <hyperlink ref="B45" r:id="rId24" display="https://baloncestoenvivo.feb.es/Equipo.aspx?i=980023" xr:uid="{FBDE33FD-C59F-4B53-84EA-4FE7CB3ACDDC}"/>
    <hyperlink ref="B50" r:id="rId25" display="https://baloncestoenvivo.feb.es/Equipo.aspx?i=980023" xr:uid="{5C249E60-4D82-4427-923F-A7FD3DDBA5AA}"/>
    <hyperlink ref="B52" r:id="rId26" display="https://baloncestoenvivo.feb.es/Equipo.aspx?i=980023" xr:uid="{F48F963B-1FE1-484C-B86B-52D7EA713A8C}"/>
    <hyperlink ref="B54" r:id="rId27" display="https://baloncestoenvivo.feb.es/Equipo.aspx?i=980023" xr:uid="{3DA7D0A2-F1A1-4ECC-818A-FAFC2D91C5DA}"/>
    <hyperlink ref="B56" r:id="rId28" display="https://baloncestoenvivo.feb.es/Equipo.aspx?i=980023" xr:uid="{F8178851-2E0F-4514-B32D-11F01994E5C7}"/>
    <hyperlink ref="B58" r:id="rId29" display="https://baloncestoenvivo.feb.es/Equipo.aspx?i=980023" xr:uid="{A6971FBE-EC7E-4ECE-B8B3-3C264A2088F6}"/>
    <hyperlink ref="B60" r:id="rId30" display="https://baloncestoenvivo.feb.es/Equipo.aspx?i=980023" xr:uid="{FF5B51E8-606A-4198-ADAE-15C765A5A8B8}"/>
    <hyperlink ref="B62" r:id="rId31" display="https://baloncestoenvivo.feb.es/Equipo.aspx?i=980023" xr:uid="{884FFD66-6E54-4B01-90D9-41582E18922C}"/>
    <hyperlink ref="B64" r:id="rId32" display="https://baloncestoenvivo.feb.es/Equipo.aspx?i=980023" xr:uid="{503A95A5-0B90-4D94-BDB2-1DA1202E830E}"/>
    <hyperlink ref="B66" r:id="rId33" display="https://baloncestoenvivo.feb.es/Equipo.aspx?i=980023" xr:uid="{03F14D3F-2FEB-473C-83C4-6ED8CCBFDF4B}"/>
    <hyperlink ref="B68" r:id="rId34" display="https://baloncestoenvivo.feb.es/Equipo.aspx?i=980023" xr:uid="{64BF92BF-5143-47B0-B103-B83C49FB78B5}"/>
    <hyperlink ref="B70" r:id="rId35" display="https://baloncestoenvivo.feb.es/Equipo.aspx?i=980023" xr:uid="{A11BB3A6-ADC9-4352-9DCE-169197A4FD8A}"/>
    <hyperlink ref="B79" r:id="rId36" display="https://baloncestoenvivo.feb.es/Equipo.aspx?i=980023" xr:uid="{47AC4E06-3D7B-4F11-8269-A45275FD63D9}"/>
    <hyperlink ref="B81" r:id="rId37" display="https://baloncestoenvivo.feb.es/Equipo.aspx?i=980023" xr:uid="{FBCD652F-6F82-42BC-A971-1C7DAB56D393}"/>
    <hyperlink ref="B83" r:id="rId38" display="https://baloncestoenvivo.feb.es/Equipo.aspx?i=980023" xr:uid="{8328C6D5-3AA3-4113-ADE0-1918B61531B7}"/>
    <hyperlink ref="B85" r:id="rId39" display="https://baloncestoenvivo.feb.es/Equipo.aspx?i=980023" xr:uid="{6738FA2C-36E1-4909-B88C-1F98616A85AA}"/>
    <hyperlink ref="B87" r:id="rId40" display="https://baloncestoenvivo.feb.es/Equipo.aspx?i=980023" xr:uid="{EA78C677-802A-4D46-A015-0B1716A02ED4}"/>
    <hyperlink ref="B89" r:id="rId41" display="https://baloncestoenvivo.feb.es/Equipo.aspx?i=980023" xr:uid="{E1AEBD37-ABD7-4058-8C31-83F4FB1DC233}"/>
    <hyperlink ref="B91" r:id="rId42" display="https://baloncestoenvivo.feb.es/Equipo.aspx?i=980023" xr:uid="{9BF7C636-AA9C-4734-8BBF-00FF75BCEAF7}"/>
    <hyperlink ref="B93" r:id="rId43" display="https://baloncestoenvivo.feb.es/Equipo.aspx?i=980023" xr:uid="{D1268BDB-678B-4BDD-B288-6FA9922E6171}"/>
    <hyperlink ref="B95" r:id="rId44" display="https://baloncestoenvivo.feb.es/Equipo.aspx?i=980023" xr:uid="{12F84BD2-2A50-4EA0-9CF0-767CA8748D66}"/>
    <hyperlink ref="B97" r:id="rId45" display="https://baloncestoenvivo.feb.es/Equipo.aspx?i=980023" xr:uid="{D90855FB-C2FD-4B37-AAD1-7A93BF30591F}"/>
    <hyperlink ref="B99" r:id="rId46" display="https://baloncestoenvivo.feb.es/Equipo.aspx?i=980023" xr:uid="{8BB6BD41-F298-44D5-90EE-0BD02B67C452}"/>
    <hyperlink ref="B101" r:id="rId47" display="https://baloncestoenvivo.feb.es/Equipo.aspx?i=980023" xr:uid="{F41A38C2-767E-4C2D-88AA-7E516ECE5923}"/>
    <hyperlink ref="B5" r:id="rId48" display="https://baloncestoenvivo.feb.es/Equipo.aspx?i=980023" xr:uid="{54D73A8D-933D-482F-9D1D-87071AE7A2AC}"/>
    <hyperlink ref="B7" r:id="rId49" display="https://baloncestoenvivo.feb.es/Equipo.aspx?i=980023" xr:uid="{2B97D866-3B5B-4A6A-8A3A-B7AC63D601F6}"/>
    <hyperlink ref="B9" r:id="rId50" display="https://baloncestoenvivo.feb.es/Equipo.aspx?i=980023" xr:uid="{975F40CF-E153-48CF-B8FE-BC0628301F13}"/>
    <hyperlink ref="B11" r:id="rId51" display="https://baloncestoenvivo.feb.es/Equipo.aspx?i=980023" xr:uid="{404B8AF3-AA7A-472A-809D-A7805AFD1518}"/>
    <hyperlink ref="B13" r:id="rId52" display="https://baloncestoenvivo.feb.es/Equipo.aspx?i=980023" xr:uid="{3B377C01-BAE9-4356-AB55-70CD6210A3B0}"/>
    <hyperlink ref="B15" r:id="rId53" display="https://baloncestoenvivo.feb.es/Equipo.aspx?i=980023" xr:uid="{D4ECF9D3-1C07-4C8E-B0F5-9ECFB5C955E3}"/>
    <hyperlink ref="B17" r:id="rId54" display="https://baloncestoenvivo.feb.es/Equipo.aspx?i=980023" xr:uid="{27A4F776-E4FE-452E-B6B0-FECB875FF040}"/>
    <hyperlink ref="B19" r:id="rId55" display="https://baloncestoenvivo.feb.es/Equipo.aspx?i=980023" xr:uid="{38FDBA8D-E020-4D5A-9505-23EF4F4EE9DE}"/>
    <hyperlink ref="B21" r:id="rId56" display="https://baloncestoenvivo.feb.es/Equipo.aspx?i=980023" xr:uid="{CE314030-B20B-4CA0-AEEA-742624F0DAC3}"/>
    <hyperlink ref="B23" r:id="rId57" display="https://baloncestoenvivo.feb.es/Equipo.aspx?i=980023" xr:uid="{2CFF7282-09A7-49FD-8B51-699C890A8FE8}"/>
    <hyperlink ref="B25" r:id="rId58" display="https://baloncestoenvivo.feb.es/Equipo.aspx?i=980023" xr:uid="{5AE386A7-90FE-44AC-BA24-53161FF30401}"/>
    <hyperlink ref="B28" r:id="rId59" display="https://baloncestoenvivo.feb.es/Equipo.aspx?i=980023" xr:uid="{2B158537-CD76-486B-BC48-D300C294D5FB}"/>
    <hyperlink ref="B30" r:id="rId60" display="https://baloncestoenvivo.feb.es/Equipo.aspx?i=980023" xr:uid="{00D13B6C-C4E6-464C-9046-D252C0DB548C}"/>
    <hyperlink ref="B32" r:id="rId61" display="https://baloncestoenvivo.feb.es/Equipo.aspx?i=980023" xr:uid="{CF56BD21-678E-4A33-BD5B-66F3854AB998}"/>
    <hyperlink ref="B34" r:id="rId62" display="https://baloncestoenvivo.feb.es/Equipo.aspx?i=980023" xr:uid="{8A5E18DE-299C-40F6-9747-D57FEC3288A4}"/>
    <hyperlink ref="B36" r:id="rId63" display="https://baloncestoenvivo.feb.es/Equipo.aspx?i=980023" xr:uid="{2AF77411-BFFF-4DFA-9B09-ACD1C2555FA1}"/>
    <hyperlink ref="B38" r:id="rId64" display="https://baloncestoenvivo.feb.es/Equipo.aspx?i=980023" xr:uid="{919E0091-072A-46DA-80C2-1E83650451A5}"/>
    <hyperlink ref="B40" r:id="rId65" display="https://baloncestoenvivo.feb.es/Equipo.aspx?i=980023" xr:uid="{CBEF4043-4CE0-40D7-8F3C-A44B2DA71345}"/>
    <hyperlink ref="B42" r:id="rId66" display="https://baloncestoenvivo.feb.es/Equipo.aspx?i=980023" xr:uid="{35907DBF-2E13-4FF7-9D8F-30726F88B462}"/>
    <hyperlink ref="B44" r:id="rId67" display="https://baloncestoenvivo.feb.es/Equipo.aspx?i=980023" xr:uid="{AC615CE0-82E0-41CC-AF1D-DFABC28C426D}"/>
    <hyperlink ref="B46" r:id="rId68" display="https://baloncestoenvivo.feb.es/Equipo.aspx?i=980023" xr:uid="{D28126E5-ECF3-4C98-AA27-1830ACD4BAD8}"/>
    <hyperlink ref="B49" r:id="rId69" display="https://baloncestoenvivo.feb.es/Equipo.aspx?i=980023" xr:uid="{D57EBDEB-352F-4C67-8169-22E487D79428}"/>
    <hyperlink ref="B51" r:id="rId70" display="https://baloncestoenvivo.feb.es/Equipo.aspx?i=980023" xr:uid="{CC842E27-40DA-4E11-B648-C58DEDB089C4}"/>
    <hyperlink ref="B53" r:id="rId71" display="https://baloncestoenvivo.feb.es/Equipo.aspx?i=980023" xr:uid="{FDB75626-36BE-4336-B9A0-420329FA96EE}"/>
    <hyperlink ref="B55" r:id="rId72" display="https://baloncestoenvivo.feb.es/Equipo.aspx?i=980023" xr:uid="{751EE74A-8F12-41DB-8F12-C7738135A6A3}"/>
    <hyperlink ref="B57" r:id="rId73" display="https://baloncestoenvivo.feb.es/Equipo.aspx?i=980023" xr:uid="{59A5ACFC-5713-487A-84AB-8FFC1E290938}"/>
    <hyperlink ref="B59" r:id="rId74" display="https://baloncestoenvivo.feb.es/Equipo.aspx?i=980023" xr:uid="{093F7B36-9923-4A1B-AEF2-B93BEFDB8191}"/>
    <hyperlink ref="B61" r:id="rId75" display="https://baloncestoenvivo.feb.es/Equipo.aspx?i=980023" xr:uid="{A4AB9942-BDCD-42A4-AB94-95D65DD5B570}"/>
    <hyperlink ref="B63" r:id="rId76" display="https://baloncestoenvivo.feb.es/Equipo.aspx?i=980023" xr:uid="{C3CB7388-3AEE-47C7-845D-30A5CB7C8F9A}"/>
    <hyperlink ref="B65" r:id="rId77" display="https://baloncestoenvivo.feb.es/Equipo.aspx?i=980023" xr:uid="{52252589-CF5E-46B9-B8C6-9E661593B23F}"/>
    <hyperlink ref="B67" r:id="rId78" display="https://baloncestoenvivo.feb.es/Equipo.aspx?i=980023" xr:uid="{0203ADE9-9968-477C-9499-C7ED4D0E176F}"/>
    <hyperlink ref="B69" r:id="rId79" display="https://baloncestoenvivo.feb.es/Equipo.aspx?i=980023" xr:uid="{619CDCAB-1888-4FBE-B9C2-45E0AE3477D0}"/>
    <hyperlink ref="B71" r:id="rId80" display="https://baloncestoenvivo.feb.es/Equipo.aspx?i=980023" xr:uid="{892BC740-D5EC-4051-8E02-3F9DE6CF612F}"/>
    <hyperlink ref="B80" r:id="rId81" display="https://baloncestoenvivo.feb.es/Equipo.aspx?i=980023" xr:uid="{83FFB102-6ED9-4EEB-852A-570EC8316718}"/>
    <hyperlink ref="B82" r:id="rId82" display="https://baloncestoenvivo.feb.es/Equipo.aspx?i=980023" xr:uid="{7C9D9871-7F72-4577-AD02-B45A0E261C54}"/>
    <hyperlink ref="B84" r:id="rId83" display="https://baloncestoenvivo.feb.es/Equipo.aspx?i=980023" xr:uid="{766619AB-C5E6-46FF-806E-4A2427C40DB6}"/>
    <hyperlink ref="B86" r:id="rId84" display="https://baloncestoenvivo.feb.es/Equipo.aspx?i=980023" xr:uid="{2BC57244-30DE-4E3E-81CA-F403440C86D4}"/>
    <hyperlink ref="B88" r:id="rId85" display="https://baloncestoenvivo.feb.es/Equipo.aspx?i=980023" xr:uid="{B08C3BD4-2790-45F5-BBB8-A7749E98069A}"/>
    <hyperlink ref="B90" r:id="rId86" display="https://baloncestoenvivo.feb.es/Equipo.aspx?i=980023" xr:uid="{84FA4B18-64C6-4D08-A343-EAD4F7BC2245}"/>
    <hyperlink ref="B92" r:id="rId87" display="https://baloncestoenvivo.feb.es/Equipo.aspx?i=980023" xr:uid="{21065C55-9F4C-48AB-84A6-6BAC42A2D1A3}"/>
    <hyperlink ref="B94" r:id="rId88" display="https://baloncestoenvivo.feb.es/Equipo.aspx?i=980023" xr:uid="{78B49883-1862-4F3A-B78F-929393B62ED3}"/>
    <hyperlink ref="B96" r:id="rId89" display="https://baloncestoenvivo.feb.es/Equipo.aspx?i=980023" xr:uid="{805910CC-378A-4F98-8222-576216E2C394}"/>
    <hyperlink ref="B98" r:id="rId90" display="https://baloncestoenvivo.feb.es/Equipo.aspx?i=980023" xr:uid="{D355EA98-97E0-4549-8036-308D9BEA74C5}"/>
    <hyperlink ref="B100" r:id="rId91" display="https://baloncestoenvivo.feb.es/Equipo.aspx?i=980023" xr:uid="{5ECD7B2B-A5BA-40FA-97AF-68C236C92A06}"/>
    <hyperlink ref="B102" r:id="rId92" display="https://baloncestoenvivo.feb.es/Equipo.aspx?i=980023" xr:uid="{CA0AE040-D4FD-4D66-A279-F399592F451E}"/>
    <hyperlink ref="B47" r:id="rId93" display="https://baloncestoenvivo.feb.es/Equipo.aspx?i=980023" xr:uid="{8908BD34-AA9C-4E35-954E-B4D5BE33CEDA}"/>
    <hyperlink ref="B48" r:id="rId94" display="https://baloncestoenvivo.feb.es/Equipo.aspx?i=980023" xr:uid="{3FFE33A4-75E2-4CEA-81A0-DC38316F85A2}"/>
    <hyperlink ref="B74" r:id="rId95" display="https://baloncestoenvivo.feb.es/Equipo.aspx?i=980023" xr:uid="{B9A4B447-A774-4C9D-8461-B21699419F19}"/>
    <hyperlink ref="B73" r:id="rId96" display="https://baloncestoenvivo.feb.es/Equipo.aspx?i=980023" xr:uid="{452D7E8F-94EF-4118-B142-77740F687342}"/>
    <hyperlink ref="B72" r:id="rId97" display="https://baloncestoenvivo.feb.es/Equipo.aspx?i=980023" xr:uid="{774824F2-7FA2-4CED-8FD1-B01BEED5E283}"/>
    <hyperlink ref="B77" r:id="rId98" display="https://baloncestoenvivo.feb.es/Equipo.aspx?i=980023" xr:uid="{8B4D5E23-94C5-4236-92A5-5429D81AB27A}"/>
    <hyperlink ref="B76" r:id="rId99" display="https://baloncestoenvivo.feb.es/Equipo.aspx?i=980023" xr:uid="{1ADD1B6A-5F27-46AE-A5F6-13B8D4D73D78}"/>
    <hyperlink ref="B75" r:id="rId100" display="https://baloncestoenvivo.feb.es/Equipo.aspx?i=980023" xr:uid="{FC79221C-CFF4-4AF6-9428-4CF1BA669AC5}"/>
    <hyperlink ref="B78" r:id="rId101" display="https://baloncestoenvivo.feb.es/Equipo.aspx?i=980023" xr:uid="{49D182E8-B3AA-47BC-BFC5-4C0F96930680}"/>
  </hyperlinks>
  <pageMargins left="0.7" right="0.7" top="0.75" bottom="0.75" header="0.3" footer="0.3"/>
  <pageSetup paperSize="9" orientation="portrait" r:id="rId1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31</v>
      </c>
      <c r="G1" s="3" t="s">
        <v>29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35</v>
      </c>
      <c r="K4" s="17" t="s">
        <v>25</v>
      </c>
      <c r="L4" s="17" t="s">
        <v>36</v>
      </c>
      <c r="M4" s="18" t="s">
        <v>27</v>
      </c>
      <c r="N4" s="18" t="s">
        <v>37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38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2026-02-02T22:29:58Z</dcterms:modified>
</cp:coreProperties>
</file>