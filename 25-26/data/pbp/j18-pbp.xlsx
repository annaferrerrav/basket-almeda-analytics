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ferrerr\Desktop\26-27 data LF2\25-26\data\pbp\"/>
    </mc:Choice>
  </mc:AlternateContent>
  <xr:revisionPtr revIDLastSave="0" documentId="13_ncr:1_{3EE7966F-4A17-4251-A1C2-52A7E50911B3}" xr6:coauthVersionLast="47" xr6:coauthVersionMax="47" xr10:uidLastSave="{00000000-0000-0000-0000-000000000000}"/>
  <bookViews>
    <workbookView xWindow="1170" yWindow="1170" windowWidth="21600" windowHeight="11295" xr2:uid="{2F001749-FD8A-442A-92C1-110CD0EC477C}"/>
  </bookViews>
  <sheets>
    <sheet name="Hoja1" sheetId="1" r:id="rId1"/>
    <sheet name="Hoja2" sheetId="2" r:id="rId2"/>
    <sheet name="Hoja3" sheetId="3" r:id="rId3"/>
  </sheets>
  <definedNames>
    <definedName name="_xlnm._FilterDatabase" localSheetId="0" hidden="1">Hoja1!$A$1:$AD$102</definedName>
    <definedName name="_xlnm._FilterDatabase" localSheetId="1" hidden="1">Hoja2!$A$1:$N$98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2" i="1" l="1"/>
  <c r="T3" i="1" s="1"/>
  <c r="T4" i="1" s="1"/>
  <c r="T5" i="1" s="1"/>
  <c r="T6" i="1" s="1"/>
  <c r="T7" i="1" s="1"/>
  <c r="T8" i="1" s="1"/>
  <c r="T9" i="1" s="1"/>
  <c r="T10" i="1" s="1"/>
  <c r="T11" i="1" s="1"/>
  <c r="T12" i="1" s="1"/>
  <c r="T13" i="1" s="1"/>
  <c r="T14" i="1" s="1"/>
  <c r="T15" i="1" s="1"/>
  <c r="T16" i="1" s="1"/>
  <c r="T17" i="1" s="1"/>
  <c r="T18" i="1" s="1"/>
  <c r="T19" i="1" s="1"/>
  <c r="T20" i="1" s="1"/>
  <c r="T21" i="1" s="1"/>
  <c r="T22" i="1" s="1"/>
  <c r="T23" i="1" s="1"/>
  <c r="T24" i="1" s="1"/>
  <c r="T25" i="1" s="1"/>
  <c r="T26" i="1" s="1"/>
  <c r="S2" i="1"/>
  <c r="L9" i="2"/>
  <c r="M9" i="2"/>
  <c r="N9" i="2"/>
  <c r="K9" i="2"/>
  <c r="T27" i="1" l="1"/>
  <c r="T28" i="1" s="1"/>
  <c r="U2" i="1"/>
  <c r="S3" i="1"/>
  <c r="S4" i="1" s="1"/>
  <c r="S5" i="1" s="1"/>
  <c r="S6" i="1" s="1"/>
  <c r="S7" i="1" s="1"/>
  <c r="S8" i="1" s="1"/>
  <c r="S9" i="1" s="1"/>
  <c r="T29" i="1" l="1"/>
  <c r="S10" i="1"/>
  <c r="U10" i="1" s="1"/>
  <c r="U9" i="1"/>
  <c r="U6" i="1"/>
  <c r="U4" i="1"/>
  <c r="U7" i="1"/>
  <c r="U5" i="1"/>
  <c r="U3" i="1"/>
  <c r="U8" i="1"/>
  <c r="S11" i="1" l="1"/>
  <c r="S12" i="1" s="1"/>
  <c r="U12" i="1" s="1"/>
  <c r="T30" i="1"/>
  <c r="U11" i="1" l="1"/>
  <c r="T31" i="1"/>
  <c r="S13" i="1"/>
  <c r="U13" i="1" s="1"/>
  <c r="T32" i="1" l="1"/>
  <c r="S14" i="1"/>
  <c r="U14" i="1" s="1"/>
  <c r="T33" i="1" l="1"/>
  <c r="S15" i="1"/>
  <c r="U15" i="1" s="1"/>
  <c r="T34" i="1" l="1"/>
  <c r="S16" i="1"/>
  <c r="U16" i="1" s="1"/>
  <c r="T35" i="1" l="1"/>
  <c r="S17" i="1"/>
  <c r="U17" i="1" s="1"/>
  <c r="T36" i="1" l="1"/>
  <c r="S18" i="1"/>
  <c r="U18" i="1" s="1"/>
  <c r="T37" i="1" l="1"/>
  <c r="S19" i="1"/>
  <c r="U19" i="1" s="1"/>
  <c r="T38" i="1" l="1"/>
  <c r="S20" i="1"/>
  <c r="U20" i="1" s="1"/>
  <c r="T39" i="1" l="1"/>
  <c r="S21" i="1"/>
  <c r="U21" i="1" s="1"/>
  <c r="T40" i="1" l="1"/>
  <c r="S22" i="1"/>
  <c r="U22" i="1" s="1"/>
  <c r="T41" i="1" l="1"/>
  <c r="S23" i="1"/>
  <c r="U23" i="1" s="1"/>
  <c r="T42" i="1" l="1"/>
  <c r="S24" i="1"/>
  <c r="U24" i="1" s="1"/>
  <c r="T43" i="1" l="1"/>
  <c r="S25" i="1"/>
  <c r="U25" i="1" l="1"/>
  <c r="S26" i="1"/>
  <c r="T44" i="1"/>
  <c r="T45" i="1" s="1"/>
  <c r="T46" i="1" s="1"/>
  <c r="T47" i="1" s="1"/>
  <c r="S27" i="1" l="1"/>
  <c r="U26" i="1"/>
  <c r="S28" i="1" l="1"/>
  <c r="U27" i="1"/>
  <c r="T48" i="1"/>
  <c r="S29" i="1" l="1"/>
  <c r="U28" i="1"/>
  <c r="T49" i="1"/>
  <c r="S30" i="1" l="1"/>
  <c r="U29" i="1"/>
  <c r="T50" i="1"/>
  <c r="S31" i="1" l="1"/>
  <c r="U30" i="1"/>
  <c r="T51" i="1"/>
  <c r="S32" i="1" l="1"/>
  <c r="U31" i="1"/>
  <c r="T52" i="1"/>
  <c r="S33" i="1" l="1"/>
  <c r="U32" i="1"/>
  <c r="T53" i="1"/>
  <c r="S34" i="1" l="1"/>
  <c r="U33" i="1"/>
  <c r="T54" i="1"/>
  <c r="S35" i="1" l="1"/>
  <c r="U34" i="1"/>
  <c r="T55" i="1"/>
  <c r="S36" i="1" l="1"/>
  <c r="U35" i="1"/>
  <c r="T56" i="1"/>
  <c r="S37" i="1" l="1"/>
  <c r="U36" i="1"/>
  <c r="T57" i="1"/>
  <c r="S38" i="1" l="1"/>
  <c r="U37" i="1"/>
  <c r="T58" i="1"/>
  <c r="S39" i="1" l="1"/>
  <c r="U38" i="1"/>
  <c r="T59" i="1"/>
  <c r="S40" i="1" l="1"/>
  <c r="U39" i="1"/>
  <c r="T60" i="1"/>
  <c r="S41" i="1" l="1"/>
  <c r="U40" i="1"/>
  <c r="T61" i="1"/>
  <c r="S42" i="1" l="1"/>
  <c r="U41" i="1"/>
  <c r="T62" i="1"/>
  <c r="S43" i="1" l="1"/>
  <c r="U42" i="1"/>
  <c r="T63" i="1"/>
  <c r="S44" i="1" l="1"/>
  <c r="S45" i="1" s="1"/>
  <c r="U43" i="1"/>
  <c r="T64" i="1"/>
  <c r="U45" i="1" l="1"/>
  <c r="S46" i="1"/>
  <c r="U44" i="1"/>
  <c r="T65" i="1"/>
  <c r="S47" i="1" l="1"/>
  <c r="U47" i="1" s="1"/>
  <c r="U46" i="1"/>
  <c r="T66" i="1"/>
  <c r="S48" i="1" l="1"/>
  <c r="S49" i="1" s="1"/>
  <c r="T67" i="1"/>
  <c r="U48" i="1" l="1"/>
  <c r="S50" i="1"/>
  <c r="U49" i="1"/>
  <c r="T68" i="1"/>
  <c r="S51" i="1" l="1"/>
  <c r="U50" i="1"/>
  <c r="T69" i="1"/>
  <c r="S52" i="1" l="1"/>
  <c r="U51" i="1"/>
  <c r="T70" i="1"/>
  <c r="S53" i="1" l="1"/>
  <c r="U52" i="1"/>
  <c r="T71" i="1"/>
  <c r="S54" i="1" l="1"/>
  <c r="U53" i="1"/>
  <c r="T72" i="1"/>
  <c r="S55" i="1" l="1"/>
  <c r="U54" i="1"/>
  <c r="T73" i="1"/>
  <c r="S56" i="1" l="1"/>
  <c r="U55" i="1"/>
  <c r="T74" i="1"/>
  <c r="S57" i="1" l="1"/>
  <c r="U56" i="1"/>
  <c r="T75" i="1"/>
  <c r="S58" i="1" l="1"/>
  <c r="U57" i="1"/>
  <c r="T76" i="1"/>
  <c r="S59" i="1" l="1"/>
  <c r="U58" i="1"/>
  <c r="T77" i="1"/>
  <c r="S60" i="1" l="1"/>
  <c r="U59" i="1"/>
  <c r="T78" i="1"/>
  <c r="T79" i="1" s="1"/>
  <c r="T80" i="1" l="1"/>
  <c r="S61" i="1"/>
  <c r="U60" i="1"/>
  <c r="T81" i="1" l="1"/>
  <c r="S62" i="1"/>
  <c r="U61" i="1"/>
  <c r="T82" i="1" l="1"/>
  <c r="S63" i="1"/>
  <c r="U62" i="1"/>
  <c r="T83" i="1" l="1"/>
  <c r="S64" i="1"/>
  <c r="U63" i="1"/>
  <c r="T84" i="1" l="1"/>
  <c r="S65" i="1"/>
  <c r="U64" i="1"/>
  <c r="T85" i="1" l="1"/>
  <c r="S66" i="1"/>
  <c r="U65" i="1"/>
  <c r="T86" i="1" l="1"/>
  <c r="S67" i="1"/>
  <c r="U66" i="1"/>
  <c r="T87" i="1" l="1"/>
  <c r="S68" i="1"/>
  <c r="U67" i="1"/>
  <c r="T88" i="1" l="1"/>
  <c r="S69" i="1"/>
  <c r="U68" i="1"/>
  <c r="T89" i="1" l="1"/>
  <c r="S70" i="1"/>
  <c r="U69" i="1"/>
  <c r="T90" i="1" l="1"/>
  <c r="S71" i="1"/>
  <c r="U70" i="1"/>
  <c r="T91" i="1" l="1"/>
  <c r="S72" i="1"/>
  <c r="U71" i="1"/>
  <c r="T92" i="1" l="1"/>
  <c r="S73" i="1"/>
  <c r="U72" i="1"/>
  <c r="T93" i="1" l="1"/>
  <c r="S74" i="1"/>
  <c r="U73" i="1"/>
  <c r="T94" i="1" l="1"/>
  <c r="S75" i="1"/>
  <c r="U74" i="1"/>
  <c r="T95" i="1" l="1"/>
  <c r="S76" i="1"/>
  <c r="U75" i="1"/>
  <c r="T96" i="1" l="1"/>
  <c r="S77" i="1"/>
  <c r="U76" i="1"/>
  <c r="T97" i="1" l="1"/>
  <c r="S78" i="1"/>
  <c r="S79" i="1" s="1"/>
  <c r="U77" i="1"/>
  <c r="S80" i="1" l="1"/>
  <c r="U79" i="1"/>
  <c r="T98" i="1"/>
  <c r="U78" i="1"/>
  <c r="S81" i="1" l="1"/>
  <c r="U80" i="1"/>
  <c r="T99" i="1"/>
  <c r="S82" i="1" l="1"/>
  <c r="U81" i="1"/>
  <c r="T100" i="1"/>
  <c r="T101" i="1" s="1"/>
  <c r="S83" i="1" l="1"/>
  <c r="U82" i="1"/>
  <c r="T102" i="1"/>
  <c r="S84" i="1" l="1"/>
  <c r="U83" i="1"/>
  <c r="S85" i="1" l="1"/>
  <c r="U84" i="1"/>
  <c r="S86" i="1" l="1"/>
  <c r="U85" i="1"/>
  <c r="S87" i="1" l="1"/>
  <c r="U86" i="1"/>
  <c r="S88" i="1" l="1"/>
  <c r="U87" i="1"/>
  <c r="S89" i="1" l="1"/>
  <c r="U88" i="1"/>
  <c r="S90" i="1" l="1"/>
  <c r="U89" i="1"/>
  <c r="S91" i="1" l="1"/>
  <c r="U90" i="1"/>
  <c r="S92" i="1" l="1"/>
  <c r="U91" i="1"/>
  <c r="S93" i="1" l="1"/>
  <c r="U92" i="1"/>
  <c r="S94" i="1" l="1"/>
  <c r="U93" i="1"/>
  <c r="S95" i="1" l="1"/>
  <c r="U94" i="1"/>
  <c r="S96" i="1" l="1"/>
  <c r="U95" i="1"/>
  <c r="S97" i="1" l="1"/>
  <c r="U96" i="1"/>
  <c r="S98" i="1" l="1"/>
  <c r="U97" i="1"/>
  <c r="S99" i="1" l="1"/>
  <c r="U98" i="1"/>
  <c r="S100" i="1" l="1"/>
  <c r="S101" i="1" s="1"/>
  <c r="U101" i="1" s="1"/>
  <c r="U99" i="1"/>
  <c r="S102" i="1" l="1"/>
  <c r="U102" i="1" s="1"/>
  <c r="U100" i="1"/>
</calcChain>
</file>

<file path=xl/sharedStrings.xml><?xml version="1.0" encoding="utf-8"?>
<sst xmlns="http://schemas.openxmlformats.org/spreadsheetml/2006/main" count="1194" uniqueCount="87">
  <si>
    <t>Jornada</t>
  </si>
  <si>
    <t>Rival</t>
  </si>
  <si>
    <t>Data</t>
  </si>
  <si>
    <t>Hora</t>
  </si>
  <si>
    <t>Loc/Visit</t>
  </si>
  <si>
    <t>Periode</t>
  </si>
  <si>
    <t>Minut</t>
  </si>
  <si>
    <t>jug 1</t>
  </si>
  <si>
    <t>jug 2</t>
  </si>
  <si>
    <t>jug 3</t>
  </si>
  <si>
    <t>jug 4</t>
  </si>
  <si>
    <t>jug 5</t>
  </si>
  <si>
    <t>Tàctica</t>
  </si>
  <si>
    <t>Desenllac</t>
  </si>
  <si>
    <t>Assist</t>
  </si>
  <si>
    <t>Finalitzadora</t>
  </si>
  <si>
    <t>PF</t>
  </si>
  <si>
    <t>PC</t>
  </si>
  <si>
    <t>Marcador equip</t>
  </si>
  <si>
    <t>Marcador rival</t>
  </si>
  <si>
    <t>Marcador</t>
  </si>
  <si>
    <t>Tierno</t>
  </si>
  <si>
    <t>Marina</t>
  </si>
  <si>
    <t>t2f</t>
  </si>
  <si>
    <t>Dana</t>
  </si>
  <si>
    <t>RO a favor</t>
  </si>
  <si>
    <t>RD a favor</t>
  </si>
  <si>
    <t>RO en contra</t>
  </si>
  <si>
    <t>RD en contra</t>
  </si>
  <si>
    <t>Punts RO rival</t>
  </si>
  <si>
    <t>t2c</t>
  </si>
  <si>
    <t>Punts RO a favor</t>
  </si>
  <si>
    <t>pèrdua</t>
  </si>
  <si>
    <t>tierno</t>
  </si>
  <si>
    <t>falta</t>
  </si>
  <si>
    <t>Període</t>
  </si>
  <si>
    <t>PF de RO a favor</t>
  </si>
  <si>
    <t>PF de RO en contra</t>
  </si>
  <si>
    <t>total</t>
  </si>
  <si>
    <t>Cojo</t>
  </si>
  <si>
    <t>cojo</t>
  </si>
  <si>
    <t>play</t>
  </si>
  <si>
    <t>Tapia</t>
  </si>
  <si>
    <t>go</t>
  </si>
  <si>
    <t>tapia</t>
  </si>
  <si>
    <t>Mar</t>
  </si>
  <si>
    <t>marina</t>
  </si>
  <si>
    <t>contratac</t>
  </si>
  <si>
    <t>Jové</t>
  </si>
  <si>
    <t>banda 35</t>
  </si>
  <si>
    <t>RO</t>
  </si>
  <si>
    <t>mar</t>
  </si>
  <si>
    <t>tac30</t>
  </si>
  <si>
    <t>Masa</t>
  </si>
  <si>
    <t>-</t>
  </si>
  <si>
    <t>t3f</t>
  </si>
  <si>
    <t>masa</t>
  </si>
  <si>
    <t>Bernal</t>
  </si>
  <si>
    <t>jové</t>
  </si>
  <si>
    <t>lliure</t>
  </si>
  <si>
    <t>dana</t>
  </si>
  <si>
    <t>bernal</t>
  </si>
  <si>
    <t>t3c</t>
  </si>
  <si>
    <t>Local</t>
  </si>
  <si>
    <t>Ivet</t>
  </si>
  <si>
    <t>ivet</t>
  </si>
  <si>
    <t>zona 4</t>
  </si>
  <si>
    <t>MAGEC TÍAS LANZAROTE CONTRA LA VIOLENCIA DE GÉNERO</t>
  </si>
  <si>
    <t>Tàctica defensiva</t>
  </si>
  <si>
    <t>cuatro</t>
  </si>
  <si>
    <t>cinco</t>
  </si>
  <si>
    <t>2 plus</t>
  </si>
  <si>
    <t>falta (tll)</t>
  </si>
  <si>
    <t>Desenllaç</t>
  </si>
  <si>
    <t>punts</t>
  </si>
  <si>
    <t>Carlota</t>
  </si>
  <si>
    <t>carlota</t>
  </si>
  <si>
    <t>zona 2</t>
  </si>
  <si>
    <t>zeta</t>
  </si>
  <si>
    <t>portland</t>
  </si>
  <si>
    <t>banda</t>
  </si>
  <si>
    <t>fons</t>
  </si>
  <si>
    <t>siena</t>
  </si>
  <si>
    <t>lado</t>
  </si>
  <si>
    <t>tac35</t>
  </si>
  <si>
    <t>zona libre</t>
  </si>
  <si>
    <t>individual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</si>
</sst>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b/>
      <sz val="11"/>
      <name val="Calibri"/>
      <family val="2"/>
    </font>
    <font>
      <sz val="11"/>
      <name val="Calibri"/>
      <family val="2"/>
    </font>
    <font>
      <sz val="11"/>
      <color rgb="FFFF0000"/>
      <name val="Aptos Narrow"/>
      <family val="2"/>
      <scheme val="minor"/>
    </font>
    <font>
      <sz val="11"/>
      <color theme="5" tint="0.3999755851924192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5" tint="-0.249977111117893"/>
      <name val="Aptos Narrow"/>
      <family val="2"/>
      <scheme val="minor"/>
    </font>
    <font>
      <sz val="11"/>
      <name val="Aptos Narrow"/>
      <family val="2"/>
      <scheme val="minor"/>
    </font>
    <font>
      <sz val="11"/>
      <color rgb="FFFFC000"/>
      <name val="Aptos Narrow"/>
      <family val="2"/>
      <scheme val="minor"/>
    </font>
    <font>
      <sz val="8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0" fillId="0" borderId="0" xfId="0" applyAlignment="1">
      <alignment horizontal="center" vertical="center"/>
    </xf>
    <xf numFmtId="14" fontId="0" fillId="0" borderId="0" xfId="0" applyNumberFormat="1"/>
    <xf numFmtId="20" fontId="0" fillId="0" borderId="0" xfId="0" applyNumberFormat="1"/>
    <xf numFmtId="0" fontId="0" fillId="2" borderId="0" xfId="0" applyFill="1"/>
    <xf numFmtId="0" fontId="4" fillId="0" borderId="0" xfId="0" applyFont="1"/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3" fillId="5" borderId="0" xfId="0" applyFont="1" applyFill="1"/>
    <xf numFmtId="0" fontId="5" fillId="0" borderId="0" xfId="0" applyFont="1"/>
    <xf numFmtId="0" fontId="0" fillId="0" borderId="0" xfId="0" applyAlignment="1">
      <alignment horizontal="center"/>
    </xf>
    <xf numFmtId="0" fontId="5" fillId="6" borderId="0" xfId="0" applyFont="1" applyFill="1"/>
    <xf numFmtId="0" fontId="5" fillId="2" borderId="0" xfId="0" applyFont="1" applyFill="1"/>
    <xf numFmtId="0" fontId="6" fillId="3" borderId="0" xfId="0" applyFont="1" applyFill="1"/>
    <xf numFmtId="0" fontId="6" fillId="0" borderId="0" xfId="0" applyFont="1"/>
    <xf numFmtId="0" fontId="3" fillId="3" borderId="0" xfId="0" applyFont="1" applyFill="1"/>
    <xf numFmtId="21" fontId="0" fillId="0" borderId="0" xfId="0" applyNumberFormat="1"/>
    <xf numFmtId="0" fontId="7" fillId="0" borderId="0" xfId="0" applyFont="1"/>
    <xf numFmtId="0" fontId="7" fillId="5" borderId="0" xfId="0" applyFont="1" applyFill="1"/>
    <xf numFmtId="0" fontId="8" fillId="0" borderId="0" xfId="0" applyFont="1"/>
    <xf numFmtId="14" fontId="3" fillId="0" borderId="0" xfId="0" applyNumberFormat="1" applyFont="1"/>
    <xf numFmtId="20" fontId="3" fillId="0" borderId="0" xfId="0" applyNumberFormat="1" applyFont="1"/>
    <xf numFmtId="0" fontId="0" fillId="0" borderId="0" xfId="0" quotePrefix="1"/>
    <xf numFmtId="0" fontId="8" fillId="0" borderId="0" xfId="0" applyFont="1" applyAlignment="1">
      <alignment horizontal="center" vertical="center"/>
    </xf>
    <xf numFmtId="14" fontId="8" fillId="0" borderId="0" xfId="0" applyNumberFormat="1" applyFont="1"/>
    <xf numFmtId="20" fontId="8" fillId="0" borderId="0" xfId="0" applyNumberFormat="1" applyFont="1"/>
    <xf numFmtId="0" fontId="7" fillId="3" borderId="0" xfId="0" applyFont="1" applyFill="1"/>
    <xf numFmtId="0" fontId="4" fillId="4" borderId="0" xfId="0" applyFont="1" applyFill="1"/>
    <xf numFmtId="0" fontId="2" fillId="0" borderId="2" xfId="0" applyFont="1" applyBorder="1" applyAlignment="1">
      <alignment horizontal="center" vertical="top"/>
    </xf>
    <xf numFmtId="0" fontId="8" fillId="2" borderId="0" xfId="0" applyFont="1" applyFill="1"/>
    <xf numFmtId="0" fontId="0" fillId="2" borderId="0" xfId="0" applyFill="1" applyAlignment="1">
      <alignment horizontal="center" vertical="center"/>
    </xf>
    <xf numFmtId="14" fontId="0" fillId="2" borderId="0" xfId="0" applyNumberFormat="1" applyFill="1"/>
    <xf numFmtId="20" fontId="0" fillId="2" borderId="0" xfId="0" applyNumberFormat="1" applyFill="1"/>
    <xf numFmtId="0" fontId="8" fillId="3" borderId="0" xfId="0" applyFont="1" applyFill="1"/>
    <xf numFmtId="20" fontId="7" fillId="0" borderId="0" xfId="0" applyNumberFormat="1" applyFont="1"/>
    <xf numFmtId="0" fontId="7" fillId="0" borderId="0" xfId="0" applyFont="1" applyAlignment="1">
      <alignment horizontal="center" vertical="center"/>
    </xf>
    <xf numFmtId="14" fontId="7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baloncestoenvivo.feb.es/Equipo.aspx?i=980023" TargetMode="External"/><Relationship Id="rId21" Type="http://schemas.openxmlformats.org/officeDocument/2006/relationships/hyperlink" Target="https://baloncestoenvivo.feb.es/Equipo.aspx?i=980023" TargetMode="External"/><Relationship Id="rId42" Type="http://schemas.openxmlformats.org/officeDocument/2006/relationships/hyperlink" Target="https://baloncestoenvivo.feb.es/Equipo.aspx?i=980023" TargetMode="External"/><Relationship Id="rId47" Type="http://schemas.openxmlformats.org/officeDocument/2006/relationships/hyperlink" Target="https://baloncestoenvivo.feb.es/Equipo.aspx?i=980023" TargetMode="External"/><Relationship Id="rId63" Type="http://schemas.openxmlformats.org/officeDocument/2006/relationships/hyperlink" Target="https://baloncestoenvivo.feb.es/Equipo.aspx?i=980023" TargetMode="External"/><Relationship Id="rId68" Type="http://schemas.openxmlformats.org/officeDocument/2006/relationships/hyperlink" Target="https://baloncestoenvivo.feb.es/Equipo.aspx?i=980023" TargetMode="External"/><Relationship Id="rId84" Type="http://schemas.openxmlformats.org/officeDocument/2006/relationships/hyperlink" Target="https://baloncestoenvivo.feb.es/Equipo.aspx?i=980023" TargetMode="External"/><Relationship Id="rId89" Type="http://schemas.openxmlformats.org/officeDocument/2006/relationships/hyperlink" Target="https://baloncestoenvivo.feb.es/Equipo.aspx?i=980023" TargetMode="External"/><Relationship Id="rId16" Type="http://schemas.openxmlformats.org/officeDocument/2006/relationships/hyperlink" Target="https://baloncestoenvivo.feb.es/Equipo.aspx?i=980023" TargetMode="External"/><Relationship Id="rId11" Type="http://schemas.openxmlformats.org/officeDocument/2006/relationships/hyperlink" Target="https://baloncestoenvivo.feb.es/Equipo.aspx?i=980023" TargetMode="External"/><Relationship Id="rId32" Type="http://schemas.openxmlformats.org/officeDocument/2006/relationships/hyperlink" Target="https://baloncestoenvivo.feb.es/Equipo.aspx?i=980023" TargetMode="External"/><Relationship Id="rId37" Type="http://schemas.openxmlformats.org/officeDocument/2006/relationships/hyperlink" Target="https://baloncestoenvivo.feb.es/Equipo.aspx?i=980023" TargetMode="External"/><Relationship Id="rId53" Type="http://schemas.openxmlformats.org/officeDocument/2006/relationships/hyperlink" Target="https://baloncestoenvivo.feb.es/Equipo.aspx?i=980023" TargetMode="External"/><Relationship Id="rId58" Type="http://schemas.openxmlformats.org/officeDocument/2006/relationships/hyperlink" Target="https://baloncestoenvivo.feb.es/Equipo.aspx?i=980023" TargetMode="External"/><Relationship Id="rId74" Type="http://schemas.openxmlformats.org/officeDocument/2006/relationships/hyperlink" Target="https://baloncestoenvivo.feb.es/Equipo.aspx?i=980023" TargetMode="External"/><Relationship Id="rId79" Type="http://schemas.openxmlformats.org/officeDocument/2006/relationships/hyperlink" Target="https://baloncestoenvivo.feb.es/Equipo.aspx?i=980023" TargetMode="External"/><Relationship Id="rId102" Type="http://schemas.openxmlformats.org/officeDocument/2006/relationships/printerSettings" Target="../printerSettings/printerSettings1.bin"/><Relationship Id="rId5" Type="http://schemas.openxmlformats.org/officeDocument/2006/relationships/hyperlink" Target="https://baloncestoenvivo.feb.es/Equipo.aspx?i=980023" TargetMode="External"/><Relationship Id="rId90" Type="http://schemas.openxmlformats.org/officeDocument/2006/relationships/hyperlink" Target="https://baloncestoenvivo.feb.es/Equipo.aspx?i=980023" TargetMode="External"/><Relationship Id="rId95" Type="http://schemas.openxmlformats.org/officeDocument/2006/relationships/hyperlink" Target="https://baloncestoenvivo.feb.es/Equipo.aspx?i=980023" TargetMode="External"/><Relationship Id="rId22" Type="http://schemas.openxmlformats.org/officeDocument/2006/relationships/hyperlink" Target="https://baloncestoenvivo.feb.es/Equipo.aspx?i=980023" TargetMode="External"/><Relationship Id="rId27" Type="http://schemas.openxmlformats.org/officeDocument/2006/relationships/hyperlink" Target="https://baloncestoenvivo.feb.es/Equipo.aspx?i=980023" TargetMode="External"/><Relationship Id="rId43" Type="http://schemas.openxmlformats.org/officeDocument/2006/relationships/hyperlink" Target="https://baloncestoenvivo.feb.es/Equipo.aspx?i=980023" TargetMode="External"/><Relationship Id="rId48" Type="http://schemas.openxmlformats.org/officeDocument/2006/relationships/hyperlink" Target="https://baloncestoenvivo.feb.es/Equipo.aspx?i=980023" TargetMode="External"/><Relationship Id="rId64" Type="http://schemas.openxmlformats.org/officeDocument/2006/relationships/hyperlink" Target="https://baloncestoenvivo.feb.es/Equipo.aspx?i=980023" TargetMode="External"/><Relationship Id="rId69" Type="http://schemas.openxmlformats.org/officeDocument/2006/relationships/hyperlink" Target="https://baloncestoenvivo.feb.es/Equipo.aspx?i=980023" TargetMode="External"/><Relationship Id="rId80" Type="http://schemas.openxmlformats.org/officeDocument/2006/relationships/hyperlink" Target="https://baloncestoenvivo.feb.es/Equipo.aspx?i=980023" TargetMode="External"/><Relationship Id="rId85" Type="http://schemas.openxmlformats.org/officeDocument/2006/relationships/hyperlink" Target="https://baloncestoenvivo.feb.es/Equipo.aspx?i=980023" TargetMode="External"/><Relationship Id="rId12" Type="http://schemas.openxmlformats.org/officeDocument/2006/relationships/hyperlink" Target="https://baloncestoenvivo.feb.es/Equipo.aspx?i=980023" TargetMode="External"/><Relationship Id="rId17" Type="http://schemas.openxmlformats.org/officeDocument/2006/relationships/hyperlink" Target="https://baloncestoenvivo.feb.es/Equipo.aspx?i=980023" TargetMode="External"/><Relationship Id="rId25" Type="http://schemas.openxmlformats.org/officeDocument/2006/relationships/hyperlink" Target="https://baloncestoenvivo.feb.es/Equipo.aspx?i=980023" TargetMode="External"/><Relationship Id="rId33" Type="http://schemas.openxmlformats.org/officeDocument/2006/relationships/hyperlink" Target="https://baloncestoenvivo.feb.es/Equipo.aspx?i=980023" TargetMode="External"/><Relationship Id="rId38" Type="http://schemas.openxmlformats.org/officeDocument/2006/relationships/hyperlink" Target="https://baloncestoenvivo.feb.es/Equipo.aspx?i=980023" TargetMode="External"/><Relationship Id="rId46" Type="http://schemas.openxmlformats.org/officeDocument/2006/relationships/hyperlink" Target="https://baloncestoenvivo.feb.es/Equipo.aspx?i=980023" TargetMode="External"/><Relationship Id="rId59" Type="http://schemas.openxmlformats.org/officeDocument/2006/relationships/hyperlink" Target="https://baloncestoenvivo.feb.es/Equipo.aspx?i=980023" TargetMode="External"/><Relationship Id="rId67" Type="http://schemas.openxmlformats.org/officeDocument/2006/relationships/hyperlink" Target="https://baloncestoenvivo.feb.es/Equipo.aspx?i=980023" TargetMode="External"/><Relationship Id="rId20" Type="http://schemas.openxmlformats.org/officeDocument/2006/relationships/hyperlink" Target="https://baloncestoenvivo.feb.es/Equipo.aspx?i=980023" TargetMode="External"/><Relationship Id="rId41" Type="http://schemas.openxmlformats.org/officeDocument/2006/relationships/hyperlink" Target="https://baloncestoenvivo.feb.es/Equipo.aspx?i=980023" TargetMode="External"/><Relationship Id="rId54" Type="http://schemas.openxmlformats.org/officeDocument/2006/relationships/hyperlink" Target="https://baloncestoenvivo.feb.es/Equipo.aspx?i=980023" TargetMode="External"/><Relationship Id="rId62" Type="http://schemas.openxmlformats.org/officeDocument/2006/relationships/hyperlink" Target="https://baloncestoenvivo.feb.es/Equipo.aspx?i=980023" TargetMode="External"/><Relationship Id="rId70" Type="http://schemas.openxmlformats.org/officeDocument/2006/relationships/hyperlink" Target="https://baloncestoenvivo.feb.es/Equipo.aspx?i=980023" TargetMode="External"/><Relationship Id="rId75" Type="http://schemas.openxmlformats.org/officeDocument/2006/relationships/hyperlink" Target="https://baloncestoenvivo.feb.es/Equipo.aspx?i=980023" TargetMode="External"/><Relationship Id="rId83" Type="http://schemas.openxmlformats.org/officeDocument/2006/relationships/hyperlink" Target="https://baloncestoenvivo.feb.es/Equipo.aspx?i=980023" TargetMode="External"/><Relationship Id="rId88" Type="http://schemas.openxmlformats.org/officeDocument/2006/relationships/hyperlink" Target="https://baloncestoenvivo.feb.es/Equipo.aspx?i=980023" TargetMode="External"/><Relationship Id="rId91" Type="http://schemas.openxmlformats.org/officeDocument/2006/relationships/hyperlink" Target="https://baloncestoenvivo.feb.es/Equipo.aspx?i=980023" TargetMode="External"/><Relationship Id="rId96" Type="http://schemas.openxmlformats.org/officeDocument/2006/relationships/hyperlink" Target="https://baloncestoenvivo.feb.es/Equipo.aspx?i=980023" TargetMode="External"/><Relationship Id="rId1" Type="http://schemas.openxmlformats.org/officeDocument/2006/relationships/hyperlink" Target="https://baloncestoenvivo.feb.es/Equipo.aspx?i=980023" TargetMode="External"/><Relationship Id="rId6" Type="http://schemas.openxmlformats.org/officeDocument/2006/relationships/hyperlink" Target="https://baloncestoenvivo.feb.es/Equipo.aspx?i=980023" TargetMode="External"/><Relationship Id="rId15" Type="http://schemas.openxmlformats.org/officeDocument/2006/relationships/hyperlink" Target="https://baloncestoenvivo.feb.es/Equipo.aspx?i=980023" TargetMode="External"/><Relationship Id="rId23" Type="http://schemas.openxmlformats.org/officeDocument/2006/relationships/hyperlink" Target="https://baloncestoenvivo.feb.es/Equipo.aspx?i=980023" TargetMode="External"/><Relationship Id="rId28" Type="http://schemas.openxmlformats.org/officeDocument/2006/relationships/hyperlink" Target="https://baloncestoenvivo.feb.es/Equipo.aspx?i=980023" TargetMode="External"/><Relationship Id="rId36" Type="http://schemas.openxmlformats.org/officeDocument/2006/relationships/hyperlink" Target="https://baloncestoenvivo.feb.es/Equipo.aspx?i=980023" TargetMode="External"/><Relationship Id="rId49" Type="http://schemas.openxmlformats.org/officeDocument/2006/relationships/hyperlink" Target="https://baloncestoenvivo.feb.es/Equipo.aspx?i=980023" TargetMode="External"/><Relationship Id="rId57" Type="http://schemas.openxmlformats.org/officeDocument/2006/relationships/hyperlink" Target="https://baloncestoenvivo.feb.es/Equipo.aspx?i=980023" TargetMode="External"/><Relationship Id="rId10" Type="http://schemas.openxmlformats.org/officeDocument/2006/relationships/hyperlink" Target="https://baloncestoenvivo.feb.es/Equipo.aspx?i=980023" TargetMode="External"/><Relationship Id="rId31" Type="http://schemas.openxmlformats.org/officeDocument/2006/relationships/hyperlink" Target="https://baloncestoenvivo.feb.es/Equipo.aspx?i=980023" TargetMode="External"/><Relationship Id="rId44" Type="http://schemas.openxmlformats.org/officeDocument/2006/relationships/hyperlink" Target="https://baloncestoenvivo.feb.es/Equipo.aspx?i=980023" TargetMode="External"/><Relationship Id="rId52" Type="http://schemas.openxmlformats.org/officeDocument/2006/relationships/hyperlink" Target="https://baloncestoenvivo.feb.es/Equipo.aspx?i=980023" TargetMode="External"/><Relationship Id="rId60" Type="http://schemas.openxmlformats.org/officeDocument/2006/relationships/hyperlink" Target="https://baloncestoenvivo.feb.es/Equipo.aspx?i=980023" TargetMode="External"/><Relationship Id="rId65" Type="http://schemas.openxmlformats.org/officeDocument/2006/relationships/hyperlink" Target="https://baloncestoenvivo.feb.es/Equipo.aspx?i=980023" TargetMode="External"/><Relationship Id="rId73" Type="http://schemas.openxmlformats.org/officeDocument/2006/relationships/hyperlink" Target="https://baloncestoenvivo.feb.es/Equipo.aspx?i=980023" TargetMode="External"/><Relationship Id="rId78" Type="http://schemas.openxmlformats.org/officeDocument/2006/relationships/hyperlink" Target="https://baloncestoenvivo.feb.es/Equipo.aspx?i=980023" TargetMode="External"/><Relationship Id="rId81" Type="http://schemas.openxmlformats.org/officeDocument/2006/relationships/hyperlink" Target="https://baloncestoenvivo.feb.es/Equipo.aspx?i=980023" TargetMode="External"/><Relationship Id="rId86" Type="http://schemas.openxmlformats.org/officeDocument/2006/relationships/hyperlink" Target="https://baloncestoenvivo.feb.es/Equipo.aspx?i=980023" TargetMode="External"/><Relationship Id="rId94" Type="http://schemas.openxmlformats.org/officeDocument/2006/relationships/hyperlink" Target="https://baloncestoenvivo.feb.es/Equipo.aspx?i=980023" TargetMode="External"/><Relationship Id="rId99" Type="http://schemas.openxmlformats.org/officeDocument/2006/relationships/hyperlink" Target="https://baloncestoenvivo.feb.es/Equipo.aspx?i=980023" TargetMode="External"/><Relationship Id="rId101" Type="http://schemas.openxmlformats.org/officeDocument/2006/relationships/hyperlink" Target="https://baloncestoenvivo.feb.es/Equipo.aspx?i=980023" TargetMode="External"/><Relationship Id="rId4" Type="http://schemas.openxmlformats.org/officeDocument/2006/relationships/hyperlink" Target="https://baloncestoenvivo.feb.es/Equipo.aspx?i=980023" TargetMode="External"/><Relationship Id="rId9" Type="http://schemas.openxmlformats.org/officeDocument/2006/relationships/hyperlink" Target="https://baloncestoenvivo.feb.es/Equipo.aspx?i=980023" TargetMode="External"/><Relationship Id="rId13" Type="http://schemas.openxmlformats.org/officeDocument/2006/relationships/hyperlink" Target="https://baloncestoenvivo.feb.es/Equipo.aspx?i=980023" TargetMode="External"/><Relationship Id="rId18" Type="http://schemas.openxmlformats.org/officeDocument/2006/relationships/hyperlink" Target="https://baloncestoenvivo.feb.es/Equipo.aspx?i=980023" TargetMode="External"/><Relationship Id="rId39" Type="http://schemas.openxmlformats.org/officeDocument/2006/relationships/hyperlink" Target="https://baloncestoenvivo.feb.es/Equipo.aspx?i=980023" TargetMode="External"/><Relationship Id="rId34" Type="http://schemas.openxmlformats.org/officeDocument/2006/relationships/hyperlink" Target="https://baloncestoenvivo.feb.es/Equipo.aspx?i=980023" TargetMode="External"/><Relationship Id="rId50" Type="http://schemas.openxmlformats.org/officeDocument/2006/relationships/hyperlink" Target="https://baloncestoenvivo.feb.es/Equipo.aspx?i=980023" TargetMode="External"/><Relationship Id="rId55" Type="http://schemas.openxmlformats.org/officeDocument/2006/relationships/hyperlink" Target="https://baloncestoenvivo.feb.es/Equipo.aspx?i=980023" TargetMode="External"/><Relationship Id="rId76" Type="http://schemas.openxmlformats.org/officeDocument/2006/relationships/hyperlink" Target="https://baloncestoenvivo.feb.es/Equipo.aspx?i=980023" TargetMode="External"/><Relationship Id="rId97" Type="http://schemas.openxmlformats.org/officeDocument/2006/relationships/hyperlink" Target="https://baloncestoenvivo.feb.es/Equipo.aspx?i=980023" TargetMode="External"/><Relationship Id="rId7" Type="http://schemas.openxmlformats.org/officeDocument/2006/relationships/hyperlink" Target="https://baloncestoenvivo.feb.es/Equipo.aspx?i=980023" TargetMode="External"/><Relationship Id="rId71" Type="http://schemas.openxmlformats.org/officeDocument/2006/relationships/hyperlink" Target="https://baloncestoenvivo.feb.es/Equipo.aspx?i=980023" TargetMode="External"/><Relationship Id="rId92" Type="http://schemas.openxmlformats.org/officeDocument/2006/relationships/hyperlink" Target="https://baloncestoenvivo.feb.es/Equipo.aspx?i=980023" TargetMode="External"/><Relationship Id="rId2" Type="http://schemas.openxmlformats.org/officeDocument/2006/relationships/hyperlink" Target="https://baloncestoenvivo.feb.es/Equipo.aspx?i=980023" TargetMode="External"/><Relationship Id="rId29" Type="http://schemas.openxmlformats.org/officeDocument/2006/relationships/hyperlink" Target="https://baloncestoenvivo.feb.es/Equipo.aspx?i=980023" TargetMode="External"/><Relationship Id="rId24" Type="http://schemas.openxmlformats.org/officeDocument/2006/relationships/hyperlink" Target="https://baloncestoenvivo.feb.es/Equipo.aspx?i=980023" TargetMode="External"/><Relationship Id="rId40" Type="http://schemas.openxmlformats.org/officeDocument/2006/relationships/hyperlink" Target="https://baloncestoenvivo.feb.es/Equipo.aspx?i=980023" TargetMode="External"/><Relationship Id="rId45" Type="http://schemas.openxmlformats.org/officeDocument/2006/relationships/hyperlink" Target="https://baloncestoenvivo.feb.es/Equipo.aspx?i=980023" TargetMode="External"/><Relationship Id="rId66" Type="http://schemas.openxmlformats.org/officeDocument/2006/relationships/hyperlink" Target="https://baloncestoenvivo.feb.es/Equipo.aspx?i=980023" TargetMode="External"/><Relationship Id="rId87" Type="http://schemas.openxmlformats.org/officeDocument/2006/relationships/hyperlink" Target="https://baloncestoenvivo.feb.es/Equipo.aspx?i=980023" TargetMode="External"/><Relationship Id="rId61" Type="http://schemas.openxmlformats.org/officeDocument/2006/relationships/hyperlink" Target="https://baloncestoenvivo.feb.es/Equipo.aspx?i=980023" TargetMode="External"/><Relationship Id="rId82" Type="http://schemas.openxmlformats.org/officeDocument/2006/relationships/hyperlink" Target="https://baloncestoenvivo.feb.es/Equipo.aspx?i=980023" TargetMode="External"/><Relationship Id="rId19" Type="http://schemas.openxmlformats.org/officeDocument/2006/relationships/hyperlink" Target="https://baloncestoenvivo.feb.es/Equipo.aspx?i=980023" TargetMode="External"/><Relationship Id="rId14" Type="http://schemas.openxmlformats.org/officeDocument/2006/relationships/hyperlink" Target="https://baloncestoenvivo.feb.es/Equipo.aspx?i=980023" TargetMode="External"/><Relationship Id="rId30" Type="http://schemas.openxmlformats.org/officeDocument/2006/relationships/hyperlink" Target="https://baloncestoenvivo.feb.es/Equipo.aspx?i=980023" TargetMode="External"/><Relationship Id="rId35" Type="http://schemas.openxmlformats.org/officeDocument/2006/relationships/hyperlink" Target="https://baloncestoenvivo.feb.es/Equipo.aspx?i=980023" TargetMode="External"/><Relationship Id="rId56" Type="http://schemas.openxmlformats.org/officeDocument/2006/relationships/hyperlink" Target="https://baloncestoenvivo.feb.es/Equipo.aspx?i=980023" TargetMode="External"/><Relationship Id="rId77" Type="http://schemas.openxmlformats.org/officeDocument/2006/relationships/hyperlink" Target="https://baloncestoenvivo.feb.es/Equipo.aspx?i=980023" TargetMode="External"/><Relationship Id="rId100" Type="http://schemas.openxmlformats.org/officeDocument/2006/relationships/hyperlink" Target="https://baloncestoenvivo.feb.es/Equipo.aspx?i=980023" TargetMode="External"/><Relationship Id="rId8" Type="http://schemas.openxmlformats.org/officeDocument/2006/relationships/hyperlink" Target="https://baloncestoenvivo.feb.es/Equipo.aspx?i=980023" TargetMode="External"/><Relationship Id="rId51" Type="http://schemas.openxmlformats.org/officeDocument/2006/relationships/hyperlink" Target="https://baloncestoenvivo.feb.es/Equipo.aspx?i=980023" TargetMode="External"/><Relationship Id="rId72" Type="http://schemas.openxmlformats.org/officeDocument/2006/relationships/hyperlink" Target="https://baloncestoenvivo.feb.es/Equipo.aspx?i=980023" TargetMode="External"/><Relationship Id="rId93" Type="http://schemas.openxmlformats.org/officeDocument/2006/relationships/hyperlink" Target="https://baloncestoenvivo.feb.es/Equipo.aspx?i=980023" TargetMode="External"/><Relationship Id="rId98" Type="http://schemas.openxmlformats.org/officeDocument/2006/relationships/hyperlink" Target="https://baloncestoenvivo.feb.es/Equipo.aspx?i=980023" TargetMode="External"/><Relationship Id="rId3" Type="http://schemas.openxmlformats.org/officeDocument/2006/relationships/hyperlink" Target="https://baloncestoenvivo.feb.es/Equipo.aspx?i=98002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34ED9-F3C0-42F8-8C99-E681B16A3183}">
  <dimension ref="A1:AD109"/>
  <sheetViews>
    <sheetView tabSelected="1" topLeftCell="A90" zoomScale="115" zoomScaleNormal="115" workbookViewId="0">
      <selection activeCell="F44" sqref="F44:F47"/>
    </sheetView>
  </sheetViews>
  <sheetFormatPr baseColWidth="10" defaultRowHeight="15" x14ac:dyDescent="0.25"/>
  <cols>
    <col min="2" max="2" width="14.85546875" customWidth="1"/>
    <col min="22" max="22" width="20" bestFit="1" customWidth="1"/>
    <col min="23" max="23" width="0" hidden="1" customWidth="1"/>
    <col min="25" max="25" width="0" hidden="1" customWidth="1"/>
    <col min="27" max="27" width="13.42578125" customWidth="1"/>
  </cols>
  <sheetData>
    <row r="1" spans="1: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25</v>
      </c>
      <c r="W1" s="3" t="s">
        <v>26</v>
      </c>
      <c r="X1" s="3" t="s">
        <v>27</v>
      </c>
      <c r="Y1" s="3" t="s">
        <v>28</v>
      </c>
      <c r="Z1" s="3" t="s">
        <v>31</v>
      </c>
      <c r="AA1" s="3" t="s">
        <v>29</v>
      </c>
      <c r="AB1" s="34" t="s">
        <v>68</v>
      </c>
      <c r="AC1" s="34" t="s">
        <v>73</v>
      </c>
      <c r="AD1" s="34" t="s">
        <v>74</v>
      </c>
    </row>
    <row r="2" spans="1:30" x14ac:dyDescent="0.25">
      <c r="A2" s="4">
        <v>18</v>
      </c>
      <c r="B2" s="4" t="s">
        <v>67</v>
      </c>
      <c r="C2" s="5">
        <v>46067</v>
      </c>
      <c r="D2" s="6">
        <v>0.77083333333333337</v>
      </c>
      <c r="E2" t="s">
        <v>63</v>
      </c>
      <c r="F2" s="7">
        <v>1</v>
      </c>
      <c r="G2">
        <v>9</v>
      </c>
      <c r="H2" t="s">
        <v>21</v>
      </c>
      <c r="I2" t="s">
        <v>42</v>
      </c>
      <c r="J2" t="s">
        <v>22</v>
      </c>
      <c r="K2" t="s">
        <v>45</v>
      </c>
      <c r="L2" t="s">
        <v>24</v>
      </c>
      <c r="M2" t="s">
        <v>59</v>
      </c>
      <c r="N2" t="s">
        <v>23</v>
      </c>
      <c r="P2" t="s">
        <v>33</v>
      </c>
      <c r="Q2">
        <v>0</v>
      </c>
      <c r="R2">
        <v>0</v>
      </c>
      <c r="S2">
        <f>Q2</f>
        <v>0</v>
      </c>
      <c r="T2">
        <f>R2</f>
        <v>0</v>
      </c>
      <c r="U2" s="4" t="str">
        <f>S2&amp;"-"&amp;T2</f>
        <v>0-0</v>
      </c>
      <c r="AB2" t="s">
        <v>86</v>
      </c>
      <c r="AC2" t="s">
        <v>23</v>
      </c>
      <c r="AD2">
        <v>0</v>
      </c>
    </row>
    <row r="3" spans="1:30" x14ac:dyDescent="0.25">
      <c r="A3" s="4">
        <v>18</v>
      </c>
      <c r="B3" s="4" t="s">
        <v>67</v>
      </c>
      <c r="C3" s="5">
        <v>46067</v>
      </c>
      <c r="D3" s="6">
        <v>0.77083333333333337</v>
      </c>
      <c r="E3" t="s">
        <v>63</v>
      </c>
      <c r="F3" s="7">
        <v>1</v>
      </c>
      <c r="G3">
        <v>9</v>
      </c>
      <c r="H3" t="s">
        <v>21</v>
      </c>
      <c r="I3" t="s">
        <v>42</v>
      </c>
      <c r="J3" t="s">
        <v>22</v>
      </c>
      <c r="K3" t="s">
        <v>45</v>
      </c>
      <c r="L3" t="s">
        <v>24</v>
      </c>
      <c r="M3" t="s">
        <v>47</v>
      </c>
      <c r="N3" t="s">
        <v>23</v>
      </c>
      <c r="P3" t="s">
        <v>46</v>
      </c>
      <c r="Q3">
        <v>0</v>
      </c>
      <c r="R3">
        <v>0</v>
      </c>
      <c r="S3">
        <f>S2+Q3</f>
        <v>0</v>
      </c>
      <c r="T3">
        <f>T2+R3</f>
        <v>0</v>
      </c>
      <c r="U3" s="4" t="str">
        <f t="shared" ref="U3:U25" si="0">S3&amp;"-"&amp;T3</f>
        <v>0-0</v>
      </c>
      <c r="AB3" t="s">
        <v>86</v>
      </c>
      <c r="AC3" t="s">
        <v>23</v>
      </c>
      <c r="AD3">
        <v>0</v>
      </c>
    </row>
    <row r="4" spans="1:30" x14ac:dyDescent="0.25">
      <c r="A4" s="4">
        <v>18</v>
      </c>
      <c r="B4" s="4" t="s">
        <v>67</v>
      </c>
      <c r="C4" s="5">
        <v>46067</v>
      </c>
      <c r="D4" s="6">
        <v>0.77083333333333304</v>
      </c>
      <c r="E4" t="s">
        <v>63</v>
      </c>
      <c r="F4" s="7">
        <v>1</v>
      </c>
      <c r="G4">
        <v>8</v>
      </c>
      <c r="H4" t="s">
        <v>21</v>
      </c>
      <c r="I4" t="s">
        <v>42</v>
      </c>
      <c r="J4" t="s">
        <v>22</v>
      </c>
      <c r="K4" t="s">
        <v>45</v>
      </c>
      <c r="L4" t="s">
        <v>24</v>
      </c>
      <c r="M4" t="s">
        <v>50</v>
      </c>
      <c r="N4" t="s">
        <v>23</v>
      </c>
      <c r="P4" t="s">
        <v>60</v>
      </c>
      <c r="Q4">
        <v>0</v>
      </c>
      <c r="R4">
        <v>0</v>
      </c>
      <c r="S4">
        <f t="shared" ref="S4:S25" si="1">S3+Q4</f>
        <v>0</v>
      </c>
      <c r="T4">
        <f t="shared" ref="T4:T25" si="2">T3+R4</f>
        <v>0</v>
      </c>
      <c r="U4" s="4" t="str">
        <f t="shared" si="0"/>
        <v>0-0</v>
      </c>
      <c r="V4">
        <v>1</v>
      </c>
      <c r="AB4" t="s">
        <v>86</v>
      </c>
      <c r="AC4" t="s">
        <v>55</v>
      </c>
      <c r="AD4">
        <v>0</v>
      </c>
    </row>
    <row r="5" spans="1:30" x14ac:dyDescent="0.25">
      <c r="A5" s="4">
        <v>18</v>
      </c>
      <c r="B5" s="4" t="s">
        <v>67</v>
      </c>
      <c r="C5" s="5">
        <v>46067</v>
      </c>
      <c r="D5" s="6">
        <v>0.77083333333333304</v>
      </c>
      <c r="E5" t="s">
        <v>63</v>
      </c>
      <c r="F5" s="7">
        <v>1</v>
      </c>
      <c r="G5">
        <v>8</v>
      </c>
      <c r="H5" t="s">
        <v>21</v>
      </c>
      <c r="I5" t="s">
        <v>42</v>
      </c>
      <c r="J5" t="s">
        <v>22</v>
      </c>
      <c r="K5" t="s">
        <v>45</v>
      </c>
      <c r="L5" t="s">
        <v>24</v>
      </c>
      <c r="M5" t="s">
        <v>69</v>
      </c>
      <c r="N5" t="s">
        <v>55</v>
      </c>
      <c r="P5" t="s">
        <v>44</v>
      </c>
      <c r="Q5">
        <v>0</v>
      </c>
      <c r="R5">
        <v>0</v>
      </c>
      <c r="S5">
        <f t="shared" si="1"/>
        <v>0</v>
      </c>
      <c r="T5">
        <f t="shared" si="2"/>
        <v>0</v>
      </c>
      <c r="U5" s="4" t="str">
        <f t="shared" si="0"/>
        <v>0-0</v>
      </c>
    </row>
    <row r="6" spans="1:30" x14ac:dyDescent="0.25">
      <c r="A6" s="4">
        <v>18</v>
      </c>
      <c r="B6" s="4" t="s">
        <v>67</v>
      </c>
      <c r="C6" s="5">
        <v>46067</v>
      </c>
      <c r="D6" s="6">
        <v>0.77083333333333304</v>
      </c>
      <c r="E6" t="s">
        <v>63</v>
      </c>
      <c r="F6" s="7">
        <v>1</v>
      </c>
      <c r="G6">
        <v>8</v>
      </c>
      <c r="H6" t="s">
        <v>21</v>
      </c>
      <c r="I6" t="s">
        <v>42</v>
      </c>
      <c r="J6" t="s">
        <v>22</v>
      </c>
      <c r="K6" t="s">
        <v>45</v>
      </c>
      <c r="L6" t="s">
        <v>24</v>
      </c>
      <c r="M6" t="s">
        <v>50</v>
      </c>
      <c r="N6" t="s">
        <v>55</v>
      </c>
      <c r="P6" t="s">
        <v>46</v>
      </c>
      <c r="Q6">
        <v>0</v>
      </c>
      <c r="R6">
        <v>0</v>
      </c>
      <c r="S6">
        <f t="shared" si="1"/>
        <v>0</v>
      </c>
      <c r="T6">
        <f t="shared" si="2"/>
        <v>0</v>
      </c>
      <c r="U6" s="4" t="str">
        <f t="shared" si="0"/>
        <v>0-0</v>
      </c>
      <c r="V6">
        <v>1</v>
      </c>
    </row>
    <row r="7" spans="1:30" x14ac:dyDescent="0.25">
      <c r="A7" s="4">
        <v>18</v>
      </c>
      <c r="B7" s="4" t="s">
        <v>67</v>
      </c>
      <c r="C7" s="5">
        <v>46067</v>
      </c>
      <c r="D7" s="6">
        <v>0.77083333333333304</v>
      </c>
      <c r="E7" t="s">
        <v>63</v>
      </c>
      <c r="F7" s="7">
        <v>1</v>
      </c>
      <c r="G7">
        <v>7</v>
      </c>
      <c r="H7" t="s">
        <v>21</v>
      </c>
      <c r="I7" t="s">
        <v>42</v>
      </c>
      <c r="J7" t="s">
        <v>22</v>
      </c>
      <c r="K7" t="s">
        <v>45</v>
      </c>
      <c r="L7" t="s">
        <v>24</v>
      </c>
      <c r="M7" t="s">
        <v>70</v>
      </c>
      <c r="N7" t="s">
        <v>23</v>
      </c>
      <c r="P7" t="s">
        <v>46</v>
      </c>
      <c r="Q7">
        <v>0</v>
      </c>
      <c r="R7">
        <v>0</v>
      </c>
      <c r="S7">
        <f t="shared" si="1"/>
        <v>0</v>
      </c>
      <c r="T7">
        <f t="shared" si="2"/>
        <v>0</v>
      </c>
      <c r="U7" s="4" t="str">
        <f t="shared" si="0"/>
        <v>0-0</v>
      </c>
      <c r="V7">
        <v>1</v>
      </c>
    </row>
    <row r="8" spans="1:30" x14ac:dyDescent="0.25">
      <c r="A8" s="4">
        <v>18</v>
      </c>
      <c r="B8" s="4" t="s">
        <v>67</v>
      </c>
      <c r="C8" s="5">
        <v>46067</v>
      </c>
      <c r="D8" s="6">
        <v>0.77083333333333304</v>
      </c>
      <c r="E8" t="s">
        <v>63</v>
      </c>
      <c r="F8" s="7">
        <v>1</v>
      </c>
      <c r="G8">
        <v>7</v>
      </c>
      <c r="H8" t="s">
        <v>21</v>
      </c>
      <c r="I8" t="s">
        <v>42</v>
      </c>
      <c r="J8" t="s">
        <v>22</v>
      </c>
      <c r="K8" t="s">
        <v>45</v>
      </c>
      <c r="L8" t="s">
        <v>24</v>
      </c>
      <c r="M8" t="s">
        <v>49</v>
      </c>
      <c r="N8" t="s">
        <v>30</v>
      </c>
      <c r="P8" t="s">
        <v>51</v>
      </c>
      <c r="Q8">
        <v>2</v>
      </c>
      <c r="R8">
        <v>0</v>
      </c>
      <c r="S8">
        <f t="shared" si="1"/>
        <v>2</v>
      </c>
      <c r="T8">
        <f t="shared" si="2"/>
        <v>0</v>
      </c>
      <c r="U8" s="4" t="str">
        <f t="shared" si="0"/>
        <v>2-0</v>
      </c>
      <c r="AB8" t="s">
        <v>77</v>
      </c>
      <c r="AC8" t="s">
        <v>55</v>
      </c>
      <c r="AD8">
        <v>0</v>
      </c>
    </row>
    <row r="9" spans="1:30" x14ac:dyDescent="0.25">
      <c r="A9" s="4">
        <v>18</v>
      </c>
      <c r="B9" s="4" t="s">
        <v>67</v>
      </c>
      <c r="C9" s="5">
        <v>46067</v>
      </c>
      <c r="D9" s="6">
        <v>0.77083333333333304</v>
      </c>
      <c r="E9" t="s">
        <v>63</v>
      </c>
      <c r="F9" s="7">
        <v>1</v>
      </c>
      <c r="G9">
        <v>6</v>
      </c>
      <c r="H9" t="s">
        <v>21</v>
      </c>
      <c r="I9" t="s">
        <v>42</v>
      </c>
      <c r="J9" t="s">
        <v>22</v>
      </c>
      <c r="K9" t="s">
        <v>45</v>
      </c>
      <c r="L9" t="s">
        <v>24</v>
      </c>
      <c r="M9" t="s">
        <v>69</v>
      </c>
      <c r="N9" t="s">
        <v>62</v>
      </c>
      <c r="P9" t="s">
        <v>44</v>
      </c>
      <c r="Q9">
        <v>3</v>
      </c>
      <c r="R9">
        <v>1</v>
      </c>
      <c r="S9">
        <f t="shared" si="1"/>
        <v>5</v>
      </c>
      <c r="T9">
        <f t="shared" si="2"/>
        <v>1</v>
      </c>
      <c r="U9" s="4" t="str">
        <f t="shared" si="0"/>
        <v>5-1</v>
      </c>
      <c r="AB9" t="s">
        <v>71</v>
      </c>
      <c r="AC9" t="s">
        <v>72</v>
      </c>
      <c r="AD9">
        <v>1</v>
      </c>
    </row>
    <row r="10" spans="1:30" s="25" customFormat="1" x14ac:dyDescent="0.25">
      <c r="A10" s="29">
        <v>18</v>
      </c>
      <c r="B10" s="29" t="s">
        <v>67</v>
      </c>
      <c r="C10" s="30">
        <v>46067</v>
      </c>
      <c r="D10" s="31">
        <v>0.77083333333333304</v>
      </c>
      <c r="E10" s="25" t="s">
        <v>63</v>
      </c>
      <c r="F10" s="35">
        <v>1</v>
      </c>
      <c r="G10" s="25">
        <v>6</v>
      </c>
      <c r="H10" s="25" t="s">
        <v>21</v>
      </c>
      <c r="I10" s="25" t="s">
        <v>42</v>
      </c>
      <c r="J10" s="25" t="s">
        <v>22</v>
      </c>
      <c r="K10" s="25" t="s">
        <v>45</v>
      </c>
      <c r="L10" s="25" t="s">
        <v>24</v>
      </c>
      <c r="M10" s="25" t="s">
        <v>52</v>
      </c>
      <c r="N10" s="25" t="s">
        <v>62</v>
      </c>
      <c r="P10" s="25" t="s">
        <v>33</v>
      </c>
      <c r="Q10" s="25">
        <v>3</v>
      </c>
      <c r="R10" s="25">
        <v>0</v>
      </c>
      <c r="S10" s="25">
        <f t="shared" si="1"/>
        <v>8</v>
      </c>
      <c r="T10" s="25">
        <f t="shared" si="2"/>
        <v>1</v>
      </c>
      <c r="U10" s="29" t="str">
        <f t="shared" si="0"/>
        <v>8-1</v>
      </c>
      <c r="AB10" s="25" t="s">
        <v>71</v>
      </c>
      <c r="AC10" s="25" t="s">
        <v>32</v>
      </c>
    </row>
    <row r="11" spans="1:30" x14ac:dyDescent="0.25">
      <c r="A11" s="4">
        <v>18</v>
      </c>
      <c r="B11" s="4" t="s">
        <v>67</v>
      </c>
      <c r="C11" s="5">
        <v>46067</v>
      </c>
      <c r="D11" s="6">
        <v>0.77083333333333304</v>
      </c>
      <c r="E11" t="s">
        <v>63</v>
      </c>
      <c r="F11" s="7">
        <v>1</v>
      </c>
      <c r="G11">
        <v>6</v>
      </c>
      <c r="H11" t="s">
        <v>21</v>
      </c>
      <c r="I11" t="s">
        <v>42</v>
      </c>
      <c r="J11" t="s">
        <v>22</v>
      </c>
      <c r="K11" t="s">
        <v>45</v>
      </c>
      <c r="L11" t="s">
        <v>24</v>
      </c>
      <c r="M11" t="s">
        <v>47</v>
      </c>
      <c r="N11" t="s">
        <v>72</v>
      </c>
      <c r="P11" t="s">
        <v>33</v>
      </c>
      <c r="Q11">
        <v>1</v>
      </c>
      <c r="R11">
        <v>0</v>
      </c>
      <c r="S11">
        <f t="shared" si="1"/>
        <v>9</v>
      </c>
      <c r="T11">
        <f t="shared" si="2"/>
        <v>1</v>
      </c>
      <c r="U11" s="4" t="str">
        <f t="shared" si="0"/>
        <v>9-1</v>
      </c>
      <c r="AB11" t="s">
        <v>71</v>
      </c>
      <c r="AC11" t="s">
        <v>32</v>
      </c>
    </row>
    <row r="12" spans="1:30" x14ac:dyDescent="0.25">
      <c r="A12" s="4">
        <v>18</v>
      </c>
      <c r="B12" s="4" t="s">
        <v>67</v>
      </c>
      <c r="C12" s="5">
        <v>46067</v>
      </c>
      <c r="D12" s="6">
        <v>0.77083333333333304</v>
      </c>
      <c r="E12" t="s">
        <v>63</v>
      </c>
      <c r="F12" s="7">
        <v>1</v>
      </c>
      <c r="G12">
        <v>6</v>
      </c>
      <c r="H12" t="s">
        <v>21</v>
      </c>
      <c r="I12" t="s">
        <v>42</v>
      </c>
      <c r="J12" t="s">
        <v>22</v>
      </c>
      <c r="K12" t="s">
        <v>45</v>
      </c>
      <c r="L12" t="s">
        <v>57</v>
      </c>
      <c r="M12" t="s">
        <v>59</v>
      </c>
      <c r="N12" t="s">
        <v>23</v>
      </c>
      <c r="P12" t="s">
        <v>51</v>
      </c>
      <c r="Q12">
        <v>0</v>
      </c>
      <c r="R12">
        <v>0</v>
      </c>
      <c r="S12">
        <f t="shared" si="1"/>
        <v>9</v>
      </c>
      <c r="T12">
        <f t="shared" si="2"/>
        <v>1</v>
      </c>
      <c r="U12" s="4" t="str">
        <f t="shared" si="0"/>
        <v>9-1</v>
      </c>
    </row>
    <row r="13" spans="1:30" x14ac:dyDescent="0.25">
      <c r="A13" s="4">
        <v>18</v>
      </c>
      <c r="B13" s="4" t="s">
        <v>67</v>
      </c>
      <c r="C13" s="5">
        <v>46067</v>
      </c>
      <c r="D13" s="6">
        <v>0.77083333333333304</v>
      </c>
      <c r="E13" t="s">
        <v>63</v>
      </c>
      <c r="F13" s="7">
        <v>1</v>
      </c>
      <c r="G13">
        <v>5</v>
      </c>
      <c r="H13" t="s">
        <v>21</v>
      </c>
      <c r="I13" t="s">
        <v>42</v>
      </c>
      <c r="J13" t="s">
        <v>22</v>
      </c>
      <c r="K13" t="s">
        <v>45</v>
      </c>
      <c r="L13" t="s">
        <v>57</v>
      </c>
      <c r="M13" t="s">
        <v>43</v>
      </c>
      <c r="N13" t="s">
        <v>62</v>
      </c>
      <c r="P13" t="s">
        <v>46</v>
      </c>
      <c r="Q13">
        <v>3</v>
      </c>
      <c r="R13">
        <v>0</v>
      </c>
      <c r="S13">
        <f t="shared" si="1"/>
        <v>12</v>
      </c>
      <c r="T13">
        <f t="shared" si="2"/>
        <v>1</v>
      </c>
      <c r="U13" s="4" t="str">
        <f t="shared" si="0"/>
        <v>12-1</v>
      </c>
      <c r="AB13" t="s">
        <v>71</v>
      </c>
      <c r="AC13" t="s">
        <v>32</v>
      </c>
    </row>
    <row r="14" spans="1:30" x14ac:dyDescent="0.25">
      <c r="A14" s="4">
        <v>18</v>
      </c>
      <c r="B14" s="4" t="s">
        <v>67</v>
      </c>
      <c r="C14" s="5">
        <v>46067</v>
      </c>
      <c r="D14" s="6">
        <v>0.77083333333333304</v>
      </c>
      <c r="E14" t="s">
        <v>63</v>
      </c>
      <c r="F14" s="7">
        <v>1</v>
      </c>
      <c r="G14">
        <v>5</v>
      </c>
      <c r="H14" t="s">
        <v>21</v>
      </c>
      <c r="I14" t="s">
        <v>42</v>
      </c>
      <c r="J14" t="s">
        <v>22</v>
      </c>
      <c r="K14" t="s">
        <v>45</v>
      </c>
      <c r="L14" t="s">
        <v>57</v>
      </c>
      <c r="M14" t="s">
        <v>47</v>
      </c>
      <c r="N14" t="s">
        <v>30</v>
      </c>
      <c r="O14" t="s">
        <v>51</v>
      </c>
      <c r="P14" t="s">
        <v>44</v>
      </c>
      <c r="Q14">
        <v>2</v>
      </c>
      <c r="R14">
        <v>0</v>
      </c>
      <c r="S14">
        <f t="shared" si="1"/>
        <v>14</v>
      </c>
      <c r="T14">
        <f t="shared" si="2"/>
        <v>1</v>
      </c>
      <c r="U14" s="4" t="str">
        <f t="shared" si="0"/>
        <v>14-1</v>
      </c>
      <c r="AB14" t="s">
        <v>71</v>
      </c>
      <c r="AC14" t="s">
        <v>34</v>
      </c>
    </row>
    <row r="15" spans="1:30" x14ac:dyDescent="0.25">
      <c r="A15" s="4">
        <v>18</v>
      </c>
      <c r="B15" s="4" t="s">
        <v>67</v>
      </c>
      <c r="C15" s="5">
        <v>46067</v>
      </c>
      <c r="D15" s="6">
        <v>0.77083333333333304</v>
      </c>
      <c r="E15" t="s">
        <v>63</v>
      </c>
      <c r="F15" s="7">
        <v>1</v>
      </c>
      <c r="G15">
        <v>4</v>
      </c>
      <c r="H15" t="s">
        <v>21</v>
      </c>
      <c r="I15" t="s">
        <v>48</v>
      </c>
      <c r="J15" t="s">
        <v>22</v>
      </c>
      <c r="K15" t="s">
        <v>39</v>
      </c>
      <c r="L15" t="s">
        <v>57</v>
      </c>
      <c r="M15" t="s">
        <v>69</v>
      </c>
      <c r="N15" t="s">
        <v>32</v>
      </c>
      <c r="P15" t="s">
        <v>33</v>
      </c>
      <c r="Q15">
        <v>0</v>
      </c>
      <c r="R15">
        <v>0</v>
      </c>
      <c r="S15">
        <f t="shared" si="1"/>
        <v>14</v>
      </c>
      <c r="T15">
        <f t="shared" si="2"/>
        <v>1</v>
      </c>
      <c r="U15" s="4" t="str">
        <f t="shared" si="0"/>
        <v>14-1</v>
      </c>
      <c r="AB15" t="s">
        <v>77</v>
      </c>
      <c r="AC15" t="s">
        <v>23</v>
      </c>
    </row>
    <row r="16" spans="1:30" x14ac:dyDescent="0.25">
      <c r="A16" s="4">
        <v>18</v>
      </c>
      <c r="B16" s="4" t="s">
        <v>67</v>
      </c>
      <c r="C16" s="5">
        <v>46067</v>
      </c>
      <c r="D16" s="6">
        <v>0.77083333333333304</v>
      </c>
      <c r="E16" t="s">
        <v>63</v>
      </c>
      <c r="F16" s="7">
        <v>1</v>
      </c>
      <c r="G16">
        <v>4</v>
      </c>
      <c r="H16" t="s">
        <v>21</v>
      </c>
      <c r="I16" t="s">
        <v>48</v>
      </c>
      <c r="J16" t="s">
        <v>22</v>
      </c>
      <c r="K16" t="s">
        <v>39</v>
      </c>
      <c r="L16" t="s">
        <v>57</v>
      </c>
      <c r="M16" t="s">
        <v>41</v>
      </c>
      <c r="N16" t="s">
        <v>32</v>
      </c>
      <c r="P16" t="s">
        <v>58</v>
      </c>
      <c r="Q16">
        <v>0</v>
      </c>
      <c r="R16">
        <v>3</v>
      </c>
      <c r="S16">
        <f t="shared" si="1"/>
        <v>14</v>
      </c>
      <c r="T16">
        <f t="shared" si="2"/>
        <v>4</v>
      </c>
      <c r="U16" s="4" t="str">
        <f t="shared" si="0"/>
        <v>14-4</v>
      </c>
      <c r="AB16" t="s">
        <v>86</v>
      </c>
      <c r="AC16" t="s">
        <v>62</v>
      </c>
      <c r="AD16">
        <v>3</v>
      </c>
    </row>
    <row r="17" spans="1:30" x14ac:dyDescent="0.25">
      <c r="A17" s="4">
        <v>18</v>
      </c>
      <c r="B17" s="4" t="s">
        <v>67</v>
      </c>
      <c r="C17" s="5">
        <v>46067</v>
      </c>
      <c r="D17" s="6">
        <v>0.77083333333333304</v>
      </c>
      <c r="E17" t="s">
        <v>63</v>
      </c>
      <c r="F17" s="7">
        <v>1</v>
      </c>
      <c r="G17">
        <v>3</v>
      </c>
      <c r="H17" t="s">
        <v>21</v>
      </c>
      <c r="I17" t="s">
        <v>48</v>
      </c>
      <c r="J17" t="s">
        <v>22</v>
      </c>
      <c r="K17" t="s">
        <v>39</v>
      </c>
      <c r="L17" t="s">
        <v>57</v>
      </c>
      <c r="M17" t="s">
        <v>52</v>
      </c>
      <c r="N17" t="s">
        <v>55</v>
      </c>
      <c r="P17" t="s">
        <v>40</v>
      </c>
      <c r="Q17">
        <v>0</v>
      </c>
      <c r="R17">
        <v>0</v>
      </c>
      <c r="S17">
        <f t="shared" si="1"/>
        <v>14</v>
      </c>
      <c r="T17">
        <f t="shared" si="2"/>
        <v>4</v>
      </c>
      <c r="U17" s="4" t="str">
        <f t="shared" si="0"/>
        <v>14-4</v>
      </c>
      <c r="AB17" t="s">
        <v>86</v>
      </c>
      <c r="AC17" t="s">
        <v>34</v>
      </c>
    </row>
    <row r="18" spans="1:30" x14ac:dyDescent="0.25">
      <c r="A18" s="4">
        <v>18</v>
      </c>
      <c r="B18" s="4" t="s">
        <v>67</v>
      </c>
      <c r="C18" s="5">
        <v>46067</v>
      </c>
      <c r="D18" s="6">
        <v>0.77083333333333304</v>
      </c>
      <c r="E18" t="s">
        <v>63</v>
      </c>
      <c r="F18" s="7">
        <v>1</v>
      </c>
      <c r="G18">
        <v>3</v>
      </c>
      <c r="H18" t="s">
        <v>48</v>
      </c>
      <c r="I18" t="s">
        <v>75</v>
      </c>
      <c r="J18" t="s">
        <v>53</v>
      </c>
      <c r="K18" t="s">
        <v>39</v>
      </c>
      <c r="L18" t="s">
        <v>57</v>
      </c>
      <c r="M18" t="s">
        <v>41</v>
      </c>
      <c r="N18" t="s">
        <v>23</v>
      </c>
      <c r="P18" t="s">
        <v>61</v>
      </c>
      <c r="Q18">
        <v>0</v>
      </c>
      <c r="R18">
        <v>1</v>
      </c>
      <c r="S18">
        <f t="shared" si="1"/>
        <v>14</v>
      </c>
      <c r="T18">
        <f t="shared" si="2"/>
        <v>5</v>
      </c>
      <c r="U18" s="4" t="str">
        <f t="shared" si="0"/>
        <v>14-5</v>
      </c>
    </row>
    <row r="19" spans="1:30" x14ac:dyDescent="0.25">
      <c r="A19" s="4">
        <v>18</v>
      </c>
      <c r="B19" s="4" t="s">
        <v>67</v>
      </c>
      <c r="C19" s="5">
        <v>46067</v>
      </c>
      <c r="D19" s="6">
        <v>0.77083333333333304</v>
      </c>
      <c r="E19" t="s">
        <v>63</v>
      </c>
      <c r="F19" s="7">
        <v>1</v>
      </c>
      <c r="G19">
        <v>3</v>
      </c>
      <c r="H19" t="s">
        <v>48</v>
      </c>
      <c r="I19" t="s">
        <v>75</v>
      </c>
      <c r="J19" t="s">
        <v>53</v>
      </c>
      <c r="K19" t="s">
        <v>39</v>
      </c>
      <c r="L19" t="s">
        <v>57</v>
      </c>
      <c r="M19" t="s">
        <v>50</v>
      </c>
      <c r="N19" t="s">
        <v>55</v>
      </c>
      <c r="P19" t="s">
        <v>40</v>
      </c>
      <c r="Q19">
        <v>0</v>
      </c>
      <c r="R19">
        <v>0</v>
      </c>
      <c r="S19">
        <f t="shared" si="1"/>
        <v>14</v>
      </c>
      <c r="T19">
        <f t="shared" si="2"/>
        <v>5</v>
      </c>
      <c r="U19" s="4" t="str">
        <f t="shared" si="0"/>
        <v>14-5</v>
      </c>
      <c r="V19">
        <v>1</v>
      </c>
    </row>
    <row r="20" spans="1:30" x14ac:dyDescent="0.25">
      <c r="A20" s="4">
        <v>18</v>
      </c>
      <c r="B20" s="4" t="s">
        <v>67</v>
      </c>
      <c r="C20" s="5">
        <v>46067</v>
      </c>
      <c r="D20" s="6">
        <v>0.77083333333333304</v>
      </c>
      <c r="E20" t="s">
        <v>63</v>
      </c>
      <c r="F20" s="7">
        <v>1</v>
      </c>
      <c r="G20">
        <v>2</v>
      </c>
      <c r="H20" t="s">
        <v>48</v>
      </c>
      <c r="I20" t="s">
        <v>75</v>
      </c>
      <c r="J20" t="s">
        <v>53</v>
      </c>
      <c r="K20" t="s">
        <v>39</v>
      </c>
      <c r="L20" t="s">
        <v>57</v>
      </c>
      <c r="M20" t="s">
        <v>47</v>
      </c>
      <c r="N20" t="s">
        <v>34</v>
      </c>
      <c r="P20" t="s">
        <v>40</v>
      </c>
      <c r="Q20">
        <v>0</v>
      </c>
      <c r="R20">
        <v>0</v>
      </c>
      <c r="S20">
        <f t="shared" si="1"/>
        <v>14</v>
      </c>
      <c r="T20">
        <f t="shared" si="2"/>
        <v>5</v>
      </c>
      <c r="U20" s="4" t="str">
        <f t="shared" si="0"/>
        <v>14-5</v>
      </c>
      <c r="AB20" t="s">
        <v>86</v>
      </c>
      <c r="AC20" t="s">
        <v>32</v>
      </c>
    </row>
    <row r="21" spans="1:30" x14ac:dyDescent="0.25">
      <c r="A21" s="4">
        <v>18</v>
      </c>
      <c r="B21" s="4" t="s">
        <v>67</v>
      </c>
      <c r="C21" s="5">
        <v>46067</v>
      </c>
      <c r="D21" s="6">
        <v>0.77083333333333304</v>
      </c>
      <c r="E21" t="s">
        <v>63</v>
      </c>
      <c r="F21" s="7">
        <v>1</v>
      </c>
      <c r="G21">
        <v>2</v>
      </c>
      <c r="H21" t="s">
        <v>48</v>
      </c>
      <c r="I21" t="s">
        <v>75</v>
      </c>
      <c r="J21" t="s">
        <v>53</v>
      </c>
      <c r="K21" t="s">
        <v>39</v>
      </c>
      <c r="L21" t="s">
        <v>57</v>
      </c>
      <c r="M21" t="s">
        <v>49</v>
      </c>
      <c r="N21" t="s">
        <v>72</v>
      </c>
      <c r="P21" t="s">
        <v>76</v>
      </c>
      <c r="Q21">
        <v>2</v>
      </c>
      <c r="R21">
        <v>0</v>
      </c>
      <c r="S21">
        <f t="shared" si="1"/>
        <v>16</v>
      </c>
      <c r="T21">
        <f t="shared" si="2"/>
        <v>5</v>
      </c>
      <c r="U21" s="4" t="str">
        <f t="shared" si="0"/>
        <v>16-5</v>
      </c>
      <c r="AB21" t="s">
        <v>71</v>
      </c>
      <c r="AC21" t="s">
        <v>32</v>
      </c>
    </row>
    <row r="22" spans="1:30" x14ac:dyDescent="0.25">
      <c r="A22" s="4">
        <v>18</v>
      </c>
      <c r="B22" s="4" t="s">
        <v>67</v>
      </c>
      <c r="C22" s="5">
        <v>46067</v>
      </c>
      <c r="D22" s="6">
        <v>0.77083333333333304</v>
      </c>
      <c r="E22" t="s">
        <v>63</v>
      </c>
      <c r="F22" s="7">
        <v>1</v>
      </c>
      <c r="G22">
        <v>1</v>
      </c>
      <c r="H22" t="s">
        <v>48</v>
      </c>
      <c r="I22" t="s">
        <v>75</v>
      </c>
      <c r="J22" t="s">
        <v>53</v>
      </c>
      <c r="K22" t="s">
        <v>39</v>
      </c>
      <c r="L22" t="s">
        <v>57</v>
      </c>
      <c r="M22" t="s">
        <v>69</v>
      </c>
      <c r="N22" t="s">
        <v>62</v>
      </c>
      <c r="O22" t="s">
        <v>76</v>
      </c>
      <c r="P22" t="s">
        <v>58</v>
      </c>
      <c r="Q22">
        <v>3</v>
      </c>
      <c r="R22">
        <v>0</v>
      </c>
      <c r="S22">
        <f t="shared" si="1"/>
        <v>19</v>
      </c>
      <c r="T22">
        <f t="shared" si="2"/>
        <v>5</v>
      </c>
      <c r="U22" s="4" t="str">
        <f t="shared" si="0"/>
        <v>19-5</v>
      </c>
      <c r="AB22" t="s">
        <v>71</v>
      </c>
      <c r="AC22" t="s">
        <v>55</v>
      </c>
    </row>
    <row r="23" spans="1:30" x14ac:dyDescent="0.25">
      <c r="A23" s="4">
        <v>18</v>
      </c>
      <c r="B23" s="4" t="s">
        <v>67</v>
      </c>
      <c r="C23" s="5">
        <v>46067</v>
      </c>
      <c r="D23" s="6">
        <v>0.77083333333333304</v>
      </c>
      <c r="E23" t="s">
        <v>63</v>
      </c>
      <c r="F23" s="7">
        <v>1</v>
      </c>
      <c r="G23">
        <v>1</v>
      </c>
      <c r="H23" t="s">
        <v>48</v>
      </c>
      <c r="I23" t="s">
        <v>75</v>
      </c>
      <c r="J23" t="s">
        <v>53</v>
      </c>
      <c r="K23" t="s">
        <v>39</v>
      </c>
      <c r="L23" t="s">
        <v>57</v>
      </c>
      <c r="M23" t="s">
        <v>41</v>
      </c>
      <c r="N23" t="s">
        <v>23</v>
      </c>
      <c r="P23" t="s">
        <v>76</v>
      </c>
      <c r="Q23">
        <v>0</v>
      </c>
      <c r="R23">
        <v>0</v>
      </c>
      <c r="S23">
        <f t="shared" si="1"/>
        <v>19</v>
      </c>
      <c r="T23">
        <f t="shared" si="2"/>
        <v>5</v>
      </c>
      <c r="U23" s="4" t="str">
        <f t="shared" si="0"/>
        <v>19-5</v>
      </c>
      <c r="AB23" t="s">
        <v>86</v>
      </c>
      <c r="AC23" t="s">
        <v>55</v>
      </c>
    </row>
    <row r="24" spans="1:30" x14ac:dyDescent="0.25">
      <c r="A24" s="4">
        <v>18</v>
      </c>
      <c r="B24" s="4" t="s">
        <v>67</v>
      </c>
      <c r="C24" s="5">
        <v>46067</v>
      </c>
      <c r="D24" s="6">
        <v>0.77083333333333304</v>
      </c>
      <c r="E24" t="s">
        <v>63</v>
      </c>
      <c r="F24" s="7">
        <v>1</v>
      </c>
      <c r="G24">
        <v>1</v>
      </c>
      <c r="H24" t="s">
        <v>48</v>
      </c>
      <c r="I24" t="s">
        <v>75</v>
      </c>
      <c r="J24" t="s">
        <v>53</v>
      </c>
      <c r="K24" t="s">
        <v>39</v>
      </c>
      <c r="L24" t="s">
        <v>57</v>
      </c>
      <c r="M24" t="s">
        <v>47</v>
      </c>
      <c r="N24" t="s">
        <v>72</v>
      </c>
      <c r="P24" t="s">
        <v>40</v>
      </c>
      <c r="Q24">
        <v>2</v>
      </c>
      <c r="R24">
        <v>2</v>
      </c>
      <c r="S24">
        <f t="shared" si="1"/>
        <v>21</v>
      </c>
      <c r="T24">
        <f t="shared" si="2"/>
        <v>7</v>
      </c>
      <c r="U24" s="4" t="str">
        <f t="shared" si="0"/>
        <v>21-7</v>
      </c>
      <c r="AB24" t="s">
        <v>71</v>
      </c>
      <c r="AC24" t="s">
        <v>30</v>
      </c>
      <c r="AD24">
        <v>2</v>
      </c>
    </row>
    <row r="25" spans="1:30" x14ac:dyDescent="0.25">
      <c r="A25" s="36">
        <v>18</v>
      </c>
      <c r="B25" s="36" t="s">
        <v>67</v>
      </c>
      <c r="C25" s="37">
        <v>46067</v>
      </c>
      <c r="D25" s="38">
        <v>0.77083333333333304</v>
      </c>
      <c r="E25" s="7" t="s">
        <v>63</v>
      </c>
      <c r="F25" s="7">
        <v>1</v>
      </c>
      <c r="G25" s="7">
        <v>0</v>
      </c>
      <c r="H25" s="7" t="s">
        <v>48</v>
      </c>
      <c r="I25" s="7" t="s">
        <v>75</v>
      </c>
      <c r="J25" s="7" t="s">
        <v>53</v>
      </c>
      <c r="K25" s="7" t="s">
        <v>39</v>
      </c>
      <c r="L25" s="7" t="s">
        <v>57</v>
      </c>
      <c r="M25" s="7" t="s">
        <v>66</v>
      </c>
      <c r="N25" s="7" t="s">
        <v>34</v>
      </c>
      <c r="O25" s="7"/>
      <c r="P25" s="7" t="s">
        <v>56</v>
      </c>
      <c r="Q25" s="7">
        <v>0</v>
      </c>
      <c r="R25" s="7">
        <v>2</v>
      </c>
      <c r="S25" s="7">
        <f t="shared" si="1"/>
        <v>21</v>
      </c>
      <c r="T25" s="7">
        <f t="shared" si="2"/>
        <v>9</v>
      </c>
      <c r="U25" s="36" t="str">
        <f t="shared" si="0"/>
        <v>21-9</v>
      </c>
      <c r="AB25" t="s">
        <v>71</v>
      </c>
      <c r="AC25" t="s">
        <v>30</v>
      </c>
      <c r="AD25">
        <v>2</v>
      </c>
    </row>
    <row r="26" spans="1:30" x14ac:dyDescent="0.25">
      <c r="A26" s="4">
        <v>18</v>
      </c>
      <c r="B26" s="4" t="s">
        <v>67</v>
      </c>
      <c r="C26" s="5">
        <v>46067</v>
      </c>
      <c r="D26" s="6">
        <v>0.77083333333333304</v>
      </c>
      <c r="E26" t="s">
        <v>63</v>
      </c>
      <c r="F26" s="11">
        <v>2</v>
      </c>
      <c r="G26">
        <v>9</v>
      </c>
      <c r="H26" t="s">
        <v>48</v>
      </c>
      <c r="I26" t="s">
        <v>42</v>
      </c>
      <c r="J26" t="s">
        <v>53</v>
      </c>
      <c r="K26" t="s">
        <v>39</v>
      </c>
      <c r="L26" t="s">
        <v>24</v>
      </c>
      <c r="M26" t="s">
        <v>66</v>
      </c>
      <c r="N26" t="s">
        <v>55</v>
      </c>
      <c r="P26" t="s">
        <v>56</v>
      </c>
      <c r="Q26">
        <v>0</v>
      </c>
      <c r="R26">
        <v>0</v>
      </c>
      <c r="S26">
        <f t="shared" ref="S26:S78" si="3">S25+Q26</f>
        <v>21</v>
      </c>
      <c r="T26">
        <f t="shared" ref="T26:T78" si="4">T25+R26</f>
        <v>9</v>
      </c>
      <c r="U26" s="4" t="str">
        <f t="shared" ref="U26:U78" si="5">S26&amp;"-"&amp;T26</f>
        <v>21-9</v>
      </c>
      <c r="AB26" t="s">
        <v>77</v>
      </c>
      <c r="AC26" t="s">
        <v>55</v>
      </c>
    </row>
    <row r="27" spans="1:30" x14ac:dyDescent="0.25">
      <c r="A27" s="4">
        <v>18</v>
      </c>
      <c r="B27" s="4" t="s">
        <v>67</v>
      </c>
      <c r="C27" s="5">
        <v>46067</v>
      </c>
      <c r="D27" s="6">
        <v>0.77083333333333304</v>
      </c>
      <c r="E27" t="s">
        <v>63</v>
      </c>
      <c r="F27" s="11">
        <v>2</v>
      </c>
      <c r="G27">
        <v>9</v>
      </c>
      <c r="H27" t="s">
        <v>48</v>
      </c>
      <c r="I27" t="s">
        <v>42</v>
      </c>
      <c r="J27" t="s">
        <v>53</v>
      </c>
      <c r="K27" t="s">
        <v>39</v>
      </c>
      <c r="L27" t="s">
        <v>24</v>
      </c>
      <c r="M27" t="s">
        <v>66</v>
      </c>
      <c r="N27" t="s">
        <v>32</v>
      </c>
      <c r="P27" t="s">
        <v>60</v>
      </c>
      <c r="Q27">
        <v>0</v>
      </c>
      <c r="R27">
        <v>3</v>
      </c>
      <c r="S27">
        <f t="shared" si="3"/>
        <v>21</v>
      </c>
      <c r="T27">
        <f t="shared" si="4"/>
        <v>12</v>
      </c>
      <c r="U27" s="4" t="str">
        <f t="shared" si="5"/>
        <v>21-12</v>
      </c>
      <c r="AB27" t="s">
        <v>77</v>
      </c>
      <c r="AC27" t="s">
        <v>62</v>
      </c>
      <c r="AD27">
        <v>3</v>
      </c>
    </row>
    <row r="28" spans="1:30" s="9" customFormat="1" x14ac:dyDescent="0.25">
      <c r="A28" s="10">
        <v>18</v>
      </c>
      <c r="B28" s="10" t="s">
        <v>67</v>
      </c>
      <c r="C28" s="26">
        <v>46067</v>
      </c>
      <c r="D28" s="27">
        <v>0.77083333333333304</v>
      </c>
      <c r="E28" s="9" t="s">
        <v>63</v>
      </c>
      <c r="F28" s="21">
        <v>2</v>
      </c>
      <c r="G28" s="9">
        <v>7</v>
      </c>
      <c r="H28" s="9" t="s">
        <v>21</v>
      </c>
      <c r="I28" s="9" t="s">
        <v>42</v>
      </c>
      <c r="J28" s="9" t="s">
        <v>64</v>
      </c>
      <c r="K28" s="9" t="s">
        <v>39</v>
      </c>
      <c r="L28" s="9" t="s">
        <v>24</v>
      </c>
      <c r="M28" s="9" t="s">
        <v>85</v>
      </c>
      <c r="N28" s="9" t="s">
        <v>32</v>
      </c>
      <c r="P28" s="9" t="s">
        <v>65</v>
      </c>
      <c r="Q28" s="9">
        <v>0</v>
      </c>
      <c r="R28" s="9">
        <v>2</v>
      </c>
      <c r="S28" s="9">
        <f t="shared" si="3"/>
        <v>21</v>
      </c>
      <c r="T28" s="9">
        <f t="shared" si="4"/>
        <v>14</v>
      </c>
      <c r="U28" s="10" t="str">
        <f t="shared" si="5"/>
        <v>21-14</v>
      </c>
      <c r="AB28" t="s">
        <v>86</v>
      </c>
      <c r="AC28" s="9" t="s">
        <v>30</v>
      </c>
      <c r="AD28" s="9">
        <v>2</v>
      </c>
    </row>
    <row r="29" spans="1:30" x14ac:dyDescent="0.25">
      <c r="A29" s="4">
        <v>18</v>
      </c>
      <c r="B29" s="4" t="s">
        <v>67</v>
      </c>
      <c r="C29" s="5">
        <v>46067</v>
      </c>
      <c r="D29" s="6">
        <v>0.77083333333333304</v>
      </c>
      <c r="E29" t="s">
        <v>63</v>
      </c>
      <c r="F29" s="11">
        <v>2</v>
      </c>
      <c r="G29">
        <v>7</v>
      </c>
      <c r="H29" t="s">
        <v>21</v>
      </c>
      <c r="I29" t="s">
        <v>42</v>
      </c>
      <c r="J29" t="s">
        <v>64</v>
      </c>
      <c r="K29" t="s">
        <v>39</v>
      </c>
      <c r="L29" t="s">
        <v>24</v>
      </c>
      <c r="M29" t="s">
        <v>77</v>
      </c>
      <c r="N29" t="s">
        <v>30</v>
      </c>
      <c r="P29" t="s">
        <v>33</v>
      </c>
      <c r="Q29">
        <v>2</v>
      </c>
      <c r="R29">
        <v>0</v>
      </c>
      <c r="S29">
        <f t="shared" si="3"/>
        <v>23</v>
      </c>
      <c r="T29">
        <f t="shared" si="4"/>
        <v>14</v>
      </c>
      <c r="U29" s="4" t="str">
        <f t="shared" si="5"/>
        <v>23-14</v>
      </c>
      <c r="AB29" t="s">
        <v>71</v>
      </c>
      <c r="AC29" t="s">
        <v>23</v>
      </c>
      <c r="AD29">
        <v>0</v>
      </c>
    </row>
    <row r="30" spans="1:30" x14ac:dyDescent="0.25">
      <c r="A30" s="4">
        <v>18</v>
      </c>
      <c r="B30" s="4" t="s">
        <v>67</v>
      </c>
      <c r="C30" s="5">
        <v>46067</v>
      </c>
      <c r="D30" s="6">
        <v>0.77083333333333304</v>
      </c>
      <c r="E30" t="s">
        <v>63</v>
      </c>
      <c r="F30" s="11">
        <v>2</v>
      </c>
      <c r="G30">
        <v>7</v>
      </c>
      <c r="H30" t="s">
        <v>21</v>
      </c>
      <c r="I30" t="s">
        <v>42</v>
      </c>
      <c r="J30" t="s">
        <v>64</v>
      </c>
      <c r="K30" t="s">
        <v>39</v>
      </c>
      <c r="L30" t="s">
        <v>24</v>
      </c>
      <c r="M30" t="s">
        <v>66</v>
      </c>
      <c r="N30" t="s">
        <v>23</v>
      </c>
      <c r="P30" t="s">
        <v>60</v>
      </c>
      <c r="Q30">
        <v>0</v>
      </c>
      <c r="R30">
        <v>0</v>
      </c>
      <c r="S30">
        <f t="shared" si="3"/>
        <v>23</v>
      </c>
      <c r="T30">
        <f t="shared" si="4"/>
        <v>14</v>
      </c>
      <c r="U30" s="4" t="str">
        <f t="shared" si="5"/>
        <v>23-14</v>
      </c>
      <c r="AB30" t="s">
        <v>77</v>
      </c>
      <c r="AC30" t="s">
        <v>23</v>
      </c>
    </row>
    <row r="31" spans="1:30" x14ac:dyDescent="0.25">
      <c r="A31" s="4">
        <v>18</v>
      </c>
      <c r="B31" s="4" t="s">
        <v>67</v>
      </c>
      <c r="C31" s="5">
        <v>46067</v>
      </c>
      <c r="D31" s="6">
        <v>0.77083333333333304</v>
      </c>
      <c r="E31" t="s">
        <v>63</v>
      </c>
      <c r="F31" s="11">
        <v>2</v>
      </c>
      <c r="G31">
        <v>7</v>
      </c>
      <c r="H31" t="s">
        <v>21</v>
      </c>
      <c r="I31" t="s">
        <v>42</v>
      </c>
      <c r="J31" t="s">
        <v>64</v>
      </c>
      <c r="K31" t="s">
        <v>39</v>
      </c>
      <c r="L31" t="s">
        <v>24</v>
      </c>
      <c r="M31" t="s">
        <v>47</v>
      </c>
      <c r="N31" t="s">
        <v>23</v>
      </c>
      <c r="P31" t="s">
        <v>40</v>
      </c>
      <c r="Q31">
        <v>0</v>
      </c>
      <c r="R31">
        <v>0</v>
      </c>
      <c r="S31">
        <f t="shared" si="3"/>
        <v>23</v>
      </c>
      <c r="T31">
        <f t="shared" si="4"/>
        <v>14</v>
      </c>
      <c r="U31" s="4" t="str">
        <f t="shared" si="5"/>
        <v>23-14</v>
      </c>
    </row>
    <row r="32" spans="1:30" x14ac:dyDescent="0.25">
      <c r="A32" s="4">
        <v>18</v>
      </c>
      <c r="B32" s="4" t="s">
        <v>67</v>
      </c>
      <c r="C32" s="5">
        <v>46067</v>
      </c>
      <c r="D32" s="6">
        <v>0.77083333333333304</v>
      </c>
      <c r="E32" t="s">
        <v>63</v>
      </c>
      <c r="F32" s="11">
        <v>2</v>
      </c>
      <c r="G32">
        <v>7</v>
      </c>
      <c r="H32" t="s">
        <v>21</v>
      </c>
      <c r="I32" t="s">
        <v>42</v>
      </c>
      <c r="J32" t="s">
        <v>64</v>
      </c>
      <c r="K32" t="s">
        <v>39</v>
      </c>
      <c r="L32" t="s">
        <v>24</v>
      </c>
      <c r="M32" t="s">
        <v>50</v>
      </c>
      <c r="N32" t="s">
        <v>23</v>
      </c>
      <c r="P32" t="s">
        <v>60</v>
      </c>
      <c r="Q32">
        <v>0</v>
      </c>
      <c r="R32">
        <v>0</v>
      </c>
      <c r="S32">
        <f t="shared" si="3"/>
        <v>23</v>
      </c>
      <c r="T32">
        <f t="shared" si="4"/>
        <v>14</v>
      </c>
      <c r="U32" s="4" t="str">
        <f t="shared" si="5"/>
        <v>23-14</v>
      </c>
      <c r="V32">
        <v>1</v>
      </c>
      <c r="AB32" t="s">
        <v>86</v>
      </c>
      <c r="AC32" t="s">
        <v>23</v>
      </c>
    </row>
    <row r="33" spans="1:30" x14ac:dyDescent="0.25">
      <c r="A33" s="4">
        <v>18</v>
      </c>
      <c r="B33" s="4" t="s">
        <v>67</v>
      </c>
      <c r="C33" s="5">
        <v>46067</v>
      </c>
      <c r="D33" s="6">
        <v>0.77083333333333304</v>
      </c>
      <c r="E33" t="s">
        <v>63</v>
      </c>
      <c r="F33" s="11">
        <v>2</v>
      </c>
      <c r="G33">
        <v>6</v>
      </c>
      <c r="H33" t="s">
        <v>21</v>
      </c>
      <c r="I33" t="s">
        <v>42</v>
      </c>
      <c r="J33" t="s">
        <v>64</v>
      </c>
      <c r="K33" t="s">
        <v>45</v>
      </c>
      <c r="L33" t="s">
        <v>24</v>
      </c>
      <c r="M33" t="s">
        <v>78</v>
      </c>
      <c r="N33" t="s">
        <v>55</v>
      </c>
      <c r="P33" t="s">
        <v>65</v>
      </c>
      <c r="Q33">
        <v>0</v>
      </c>
      <c r="R33">
        <v>0</v>
      </c>
      <c r="S33">
        <f t="shared" si="3"/>
        <v>23</v>
      </c>
      <c r="T33">
        <f t="shared" si="4"/>
        <v>14</v>
      </c>
      <c r="U33" s="4" t="str">
        <f t="shared" si="5"/>
        <v>23-14</v>
      </c>
      <c r="V33">
        <v>1</v>
      </c>
    </row>
    <row r="34" spans="1:30" x14ac:dyDescent="0.25">
      <c r="A34" s="4">
        <v>18</v>
      </c>
      <c r="B34" s="4" t="s">
        <v>67</v>
      </c>
      <c r="C34" s="5">
        <v>46067</v>
      </c>
      <c r="D34" s="6">
        <v>0.77083333333333304</v>
      </c>
      <c r="E34" t="s">
        <v>63</v>
      </c>
      <c r="F34" s="11">
        <v>2</v>
      </c>
      <c r="G34">
        <v>5</v>
      </c>
      <c r="H34" t="s">
        <v>21</v>
      </c>
      <c r="I34" t="s">
        <v>42</v>
      </c>
      <c r="J34" t="s">
        <v>64</v>
      </c>
      <c r="K34" t="s">
        <v>45</v>
      </c>
      <c r="L34" t="s">
        <v>24</v>
      </c>
      <c r="M34" t="s">
        <v>50</v>
      </c>
      <c r="N34" t="s">
        <v>55</v>
      </c>
      <c r="P34" t="s">
        <v>44</v>
      </c>
      <c r="Q34">
        <v>0</v>
      </c>
      <c r="R34">
        <v>0</v>
      </c>
      <c r="S34">
        <f t="shared" si="3"/>
        <v>23</v>
      </c>
      <c r="T34">
        <f t="shared" si="4"/>
        <v>14</v>
      </c>
      <c r="U34" s="4" t="str">
        <f t="shared" si="5"/>
        <v>23-14</v>
      </c>
      <c r="V34">
        <v>1</v>
      </c>
    </row>
    <row r="35" spans="1:30" x14ac:dyDescent="0.25">
      <c r="A35" s="4">
        <v>18</v>
      </c>
      <c r="B35" s="4" t="s">
        <v>67</v>
      </c>
      <c r="C35" s="5">
        <v>46067</v>
      </c>
      <c r="D35" s="6">
        <v>0.77083333333333304</v>
      </c>
      <c r="E35" t="s">
        <v>63</v>
      </c>
      <c r="F35" s="11">
        <v>2</v>
      </c>
      <c r="G35">
        <v>5</v>
      </c>
      <c r="H35" t="s">
        <v>21</v>
      </c>
      <c r="I35" t="s">
        <v>42</v>
      </c>
      <c r="J35" t="s">
        <v>64</v>
      </c>
      <c r="K35" t="s">
        <v>45</v>
      </c>
      <c r="L35" t="s">
        <v>24</v>
      </c>
      <c r="M35" t="s">
        <v>50</v>
      </c>
      <c r="N35" t="s">
        <v>34</v>
      </c>
      <c r="P35" t="s">
        <v>51</v>
      </c>
      <c r="Q35">
        <v>0</v>
      </c>
      <c r="R35">
        <v>0</v>
      </c>
      <c r="S35">
        <f t="shared" si="3"/>
        <v>23</v>
      </c>
      <c r="T35">
        <f t="shared" si="4"/>
        <v>14</v>
      </c>
      <c r="U35" s="4" t="str">
        <f t="shared" si="5"/>
        <v>23-14</v>
      </c>
    </row>
    <row r="36" spans="1:30" x14ac:dyDescent="0.25">
      <c r="A36" s="4">
        <v>18</v>
      </c>
      <c r="B36" s="4" t="s">
        <v>67</v>
      </c>
      <c r="C36" s="5">
        <v>46067</v>
      </c>
      <c r="D36" s="6">
        <v>0.77083333333333304</v>
      </c>
      <c r="E36" t="s">
        <v>63</v>
      </c>
      <c r="F36" s="11">
        <v>2</v>
      </c>
      <c r="G36">
        <v>5</v>
      </c>
      <c r="H36" t="s">
        <v>21</v>
      </c>
      <c r="I36" t="s">
        <v>42</v>
      </c>
      <c r="J36" t="s">
        <v>64</v>
      </c>
      <c r="K36" t="s">
        <v>45</v>
      </c>
      <c r="L36" t="s">
        <v>24</v>
      </c>
      <c r="M36" t="s">
        <v>79</v>
      </c>
      <c r="N36" t="s">
        <v>23</v>
      </c>
      <c r="P36" t="s">
        <v>44</v>
      </c>
      <c r="Q36">
        <v>0</v>
      </c>
      <c r="R36">
        <v>2</v>
      </c>
      <c r="S36">
        <f t="shared" si="3"/>
        <v>23</v>
      </c>
      <c r="T36">
        <f t="shared" si="4"/>
        <v>16</v>
      </c>
      <c r="U36" s="4" t="str">
        <f t="shared" si="5"/>
        <v>23-16</v>
      </c>
      <c r="V36">
        <v>1</v>
      </c>
      <c r="X36">
        <v>2</v>
      </c>
      <c r="AA36">
        <v>2</v>
      </c>
      <c r="AB36" t="s">
        <v>77</v>
      </c>
      <c r="AC36" t="s">
        <v>30</v>
      </c>
      <c r="AD36">
        <v>2</v>
      </c>
    </row>
    <row r="37" spans="1:30" s="8" customFormat="1" x14ac:dyDescent="0.25">
      <c r="A37" s="4">
        <v>18</v>
      </c>
      <c r="B37" s="4" t="s">
        <v>67</v>
      </c>
      <c r="C37" s="5">
        <v>46067</v>
      </c>
      <c r="D37" s="6">
        <v>0.77083333333333304</v>
      </c>
      <c r="E37" t="s">
        <v>63</v>
      </c>
      <c r="F37" s="11">
        <v>2</v>
      </c>
      <c r="G37">
        <v>5</v>
      </c>
      <c r="H37" t="s">
        <v>21</v>
      </c>
      <c r="I37" t="s">
        <v>42</v>
      </c>
      <c r="J37" t="s">
        <v>64</v>
      </c>
      <c r="K37" t="s">
        <v>45</v>
      </c>
      <c r="L37" t="s">
        <v>24</v>
      </c>
      <c r="M37" t="s">
        <v>50</v>
      </c>
      <c r="N37" t="s">
        <v>23</v>
      </c>
      <c r="O37"/>
      <c r="P37" t="s">
        <v>65</v>
      </c>
      <c r="Q37">
        <v>0</v>
      </c>
      <c r="R37">
        <v>0</v>
      </c>
      <c r="S37">
        <f t="shared" si="3"/>
        <v>23</v>
      </c>
      <c r="T37">
        <f t="shared" si="4"/>
        <v>16</v>
      </c>
      <c r="U37" s="4" t="str">
        <f t="shared" si="5"/>
        <v>23-16</v>
      </c>
      <c r="AB37" s="8" t="s">
        <v>71</v>
      </c>
      <c r="AC37" s="8" t="s">
        <v>23</v>
      </c>
    </row>
    <row r="38" spans="1:30" x14ac:dyDescent="0.25">
      <c r="A38" s="4">
        <v>18</v>
      </c>
      <c r="B38" s="4" t="s">
        <v>67</v>
      </c>
      <c r="C38" s="5">
        <v>46067</v>
      </c>
      <c r="D38" s="6">
        <v>0.77083333333333304</v>
      </c>
      <c r="E38" t="s">
        <v>63</v>
      </c>
      <c r="F38" s="11">
        <v>2</v>
      </c>
      <c r="G38">
        <v>5</v>
      </c>
      <c r="H38" t="s">
        <v>21</v>
      </c>
      <c r="I38" t="s">
        <v>42</v>
      </c>
      <c r="J38" t="s">
        <v>64</v>
      </c>
      <c r="K38" t="s">
        <v>45</v>
      </c>
      <c r="L38" t="s">
        <v>24</v>
      </c>
      <c r="M38" t="s">
        <v>79</v>
      </c>
      <c r="N38" t="s">
        <v>62</v>
      </c>
      <c r="O38" t="s">
        <v>44</v>
      </c>
      <c r="P38" t="s">
        <v>33</v>
      </c>
      <c r="Q38">
        <v>3</v>
      </c>
      <c r="R38">
        <v>0</v>
      </c>
      <c r="S38">
        <f t="shared" si="3"/>
        <v>26</v>
      </c>
      <c r="T38">
        <f t="shared" si="4"/>
        <v>16</v>
      </c>
      <c r="U38" s="4" t="str">
        <f t="shared" si="5"/>
        <v>26-16</v>
      </c>
    </row>
    <row r="39" spans="1:30" x14ac:dyDescent="0.25">
      <c r="A39" s="4">
        <v>18</v>
      </c>
      <c r="B39" s="4" t="s">
        <v>67</v>
      </c>
      <c r="C39" s="5">
        <v>46067</v>
      </c>
      <c r="D39" s="6">
        <v>0.77083333333333304</v>
      </c>
      <c r="E39" t="s">
        <v>63</v>
      </c>
      <c r="F39" s="11">
        <v>2</v>
      </c>
      <c r="G39">
        <v>4</v>
      </c>
      <c r="H39" t="s">
        <v>21</v>
      </c>
      <c r="I39" t="s">
        <v>42</v>
      </c>
      <c r="J39" t="s">
        <v>22</v>
      </c>
      <c r="K39" t="s">
        <v>45</v>
      </c>
      <c r="L39" t="s">
        <v>24</v>
      </c>
      <c r="M39" t="s">
        <v>78</v>
      </c>
      <c r="N39" t="s">
        <v>72</v>
      </c>
      <c r="P39" t="s">
        <v>60</v>
      </c>
      <c r="Q39">
        <v>2</v>
      </c>
      <c r="R39">
        <v>0</v>
      </c>
      <c r="S39">
        <f t="shared" si="3"/>
        <v>28</v>
      </c>
      <c r="T39">
        <f t="shared" si="4"/>
        <v>16</v>
      </c>
      <c r="U39" s="4" t="str">
        <f t="shared" si="5"/>
        <v>28-16</v>
      </c>
      <c r="AB39" t="s">
        <v>71</v>
      </c>
      <c r="AC39" t="s">
        <v>32</v>
      </c>
      <c r="AD39">
        <v>0</v>
      </c>
    </row>
    <row r="40" spans="1:30" x14ac:dyDescent="0.25">
      <c r="A40" s="4">
        <v>18</v>
      </c>
      <c r="B40" s="4" t="s">
        <v>67</v>
      </c>
      <c r="C40" s="5">
        <v>46067</v>
      </c>
      <c r="D40" s="6">
        <v>0.77083333333333304</v>
      </c>
      <c r="E40" t="s">
        <v>63</v>
      </c>
      <c r="F40" s="11">
        <v>2</v>
      </c>
      <c r="G40">
        <v>4</v>
      </c>
      <c r="H40" t="s">
        <v>21</v>
      </c>
      <c r="I40" t="s">
        <v>42</v>
      </c>
      <c r="J40" t="s">
        <v>22</v>
      </c>
      <c r="K40" t="s">
        <v>45</v>
      </c>
      <c r="L40" t="s">
        <v>24</v>
      </c>
      <c r="M40" t="s">
        <v>47</v>
      </c>
      <c r="N40" t="s">
        <v>23</v>
      </c>
      <c r="P40" t="s">
        <v>44</v>
      </c>
      <c r="Q40">
        <v>0</v>
      </c>
      <c r="R40">
        <v>0</v>
      </c>
      <c r="S40">
        <f t="shared" si="3"/>
        <v>28</v>
      </c>
      <c r="T40">
        <f t="shared" si="4"/>
        <v>16</v>
      </c>
      <c r="U40" s="4" t="str">
        <f t="shared" si="5"/>
        <v>28-16</v>
      </c>
    </row>
    <row r="41" spans="1:30" s="25" customFormat="1" x14ac:dyDescent="0.25">
      <c r="A41" s="29">
        <v>18</v>
      </c>
      <c r="B41" s="29" t="s">
        <v>67</v>
      </c>
      <c r="C41" s="30">
        <v>46067</v>
      </c>
      <c r="D41" s="31">
        <v>0.77083333333333304</v>
      </c>
      <c r="E41" s="25" t="s">
        <v>63</v>
      </c>
      <c r="F41" s="39">
        <v>2</v>
      </c>
      <c r="G41" s="25">
        <v>4</v>
      </c>
      <c r="H41" s="25" t="s">
        <v>21</v>
      </c>
      <c r="I41" s="25" t="s">
        <v>42</v>
      </c>
      <c r="J41" s="25" t="s">
        <v>22</v>
      </c>
      <c r="K41" s="25" t="s">
        <v>45</v>
      </c>
      <c r="L41" s="25" t="s">
        <v>24</v>
      </c>
      <c r="M41" s="25" t="s">
        <v>79</v>
      </c>
      <c r="N41" s="25" t="s">
        <v>30</v>
      </c>
      <c r="P41" s="25" t="s">
        <v>33</v>
      </c>
      <c r="Q41" s="25">
        <v>2</v>
      </c>
      <c r="R41" s="25">
        <v>0</v>
      </c>
      <c r="S41" s="25">
        <f t="shared" si="3"/>
        <v>30</v>
      </c>
      <c r="T41" s="25">
        <f t="shared" si="4"/>
        <v>16</v>
      </c>
      <c r="U41" s="29" t="str">
        <f t="shared" si="5"/>
        <v>30-16</v>
      </c>
      <c r="AB41" s="25" t="s">
        <v>71</v>
      </c>
      <c r="AC41" s="25" t="s">
        <v>23</v>
      </c>
    </row>
    <row r="42" spans="1:30" s="23" customFormat="1" x14ac:dyDescent="0.25">
      <c r="A42" s="4">
        <v>18</v>
      </c>
      <c r="B42" s="4" t="s">
        <v>67</v>
      </c>
      <c r="C42" s="5">
        <v>46067</v>
      </c>
      <c r="D42" s="6">
        <v>0.77083333333333304</v>
      </c>
      <c r="E42" t="s">
        <v>63</v>
      </c>
      <c r="F42" s="32">
        <v>2</v>
      </c>
      <c r="G42" s="23">
        <v>3</v>
      </c>
      <c r="H42" s="23" t="s">
        <v>21</v>
      </c>
      <c r="I42" s="23" t="s">
        <v>75</v>
      </c>
      <c r="J42" s="23" t="s">
        <v>22</v>
      </c>
      <c r="K42" s="23" t="s">
        <v>45</v>
      </c>
      <c r="L42" s="23" t="s">
        <v>24</v>
      </c>
      <c r="M42" s="23" t="s">
        <v>66</v>
      </c>
      <c r="N42" s="23" t="s">
        <v>62</v>
      </c>
      <c r="O42" s="23" t="s">
        <v>60</v>
      </c>
      <c r="P42" s="23" t="s">
        <v>46</v>
      </c>
      <c r="Q42" s="23">
        <v>3</v>
      </c>
      <c r="R42" s="23">
        <v>2</v>
      </c>
      <c r="S42">
        <f t="shared" si="3"/>
        <v>33</v>
      </c>
      <c r="T42">
        <f t="shared" si="4"/>
        <v>18</v>
      </c>
      <c r="U42" s="4" t="str">
        <f t="shared" si="5"/>
        <v>33-18</v>
      </c>
      <c r="X42" s="23">
        <v>1</v>
      </c>
      <c r="AA42" s="23">
        <v>2</v>
      </c>
      <c r="AB42" s="23" t="s">
        <v>71</v>
      </c>
      <c r="AC42" s="23" t="s">
        <v>32</v>
      </c>
    </row>
    <row r="43" spans="1:30" s="9" customFormat="1" x14ac:dyDescent="0.25">
      <c r="A43" s="10">
        <v>18</v>
      </c>
      <c r="B43" s="10" t="s">
        <v>67</v>
      </c>
      <c r="C43" s="26">
        <v>46067</v>
      </c>
      <c r="D43" s="27">
        <v>0.77083333333333304</v>
      </c>
      <c r="E43" s="9" t="s">
        <v>63</v>
      </c>
      <c r="F43" s="21">
        <v>2</v>
      </c>
      <c r="G43" s="9">
        <v>2</v>
      </c>
      <c r="H43" s="9" t="s">
        <v>21</v>
      </c>
      <c r="I43" s="9" t="s">
        <v>75</v>
      </c>
      <c r="J43" s="9" t="s">
        <v>22</v>
      </c>
      <c r="K43" s="9" t="s">
        <v>45</v>
      </c>
      <c r="L43" s="9" t="s">
        <v>24</v>
      </c>
      <c r="M43" s="9" t="s">
        <v>41</v>
      </c>
      <c r="N43" s="9" t="s">
        <v>80</v>
      </c>
      <c r="P43" s="9" t="s">
        <v>54</v>
      </c>
      <c r="Q43" s="9">
        <v>0</v>
      </c>
      <c r="R43" s="9">
        <v>0</v>
      </c>
      <c r="S43" s="9">
        <f t="shared" si="3"/>
        <v>33</v>
      </c>
      <c r="T43" s="9">
        <f t="shared" si="4"/>
        <v>18</v>
      </c>
      <c r="U43" s="10" t="str">
        <f t="shared" si="5"/>
        <v>33-18</v>
      </c>
    </row>
    <row r="44" spans="1:30" x14ac:dyDescent="0.25">
      <c r="A44" s="4">
        <v>18</v>
      </c>
      <c r="B44" s="4" t="s">
        <v>67</v>
      </c>
      <c r="C44" s="5">
        <v>46067</v>
      </c>
      <c r="D44" s="6">
        <v>0.77083333333333304</v>
      </c>
      <c r="E44" t="s">
        <v>63</v>
      </c>
      <c r="F44" s="11">
        <v>2</v>
      </c>
      <c r="G44">
        <v>2</v>
      </c>
      <c r="H44" t="s">
        <v>21</v>
      </c>
      <c r="I44" t="s">
        <v>75</v>
      </c>
      <c r="J44" t="s">
        <v>22</v>
      </c>
      <c r="K44" t="s">
        <v>45</v>
      </c>
      <c r="L44" t="s">
        <v>57</v>
      </c>
      <c r="M44" s="9" t="s">
        <v>85</v>
      </c>
      <c r="N44" t="s">
        <v>72</v>
      </c>
      <c r="P44" t="s">
        <v>76</v>
      </c>
      <c r="Q44">
        <v>1</v>
      </c>
      <c r="R44">
        <v>0</v>
      </c>
      <c r="S44">
        <f t="shared" si="3"/>
        <v>34</v>
      </c>
      <c r="T44">
        <f t="shared" si="4"/>
        <v>18</v>
      </c>
      <c r="U44" s="4" t="str">
        <f t="shared" si="5"/>
        <v>34-18</v>
      </c>
      <c r="AB44" t="s">
        <v>71</v>
      </c>
      <c r="AC44" t="s">
        <v>23</v>
      </c>
      <c r="AD44">
        <v>0</v>
      </c>
    </row>
    <row r="45" spans="1:30" x14ac:dyDescent="0.25">
      <c r="A45" s="4">
        <v>18</v>
      </c>
      <c r="B45" s="4" t="s">
        <v>67</v>
      </c>
      <c r="C45" s="5">
        <v>46067</v>
      </c>
      <c r="D45" s="6">
        <v>0.77083333333333304</v>
      </c>
      <c r="E45" t="s">
        <v>63</v>
      </c>
      <c r="F45" s="11">
        <v>2</v>
      </c>
      <c r="G45">
        <v>1</v>
      </c>
      <c r="H45" t="s">
        <v>21</v>
      </c>
      <c r="I45" t="s">
        <v>75</v>
      </c>
      <c r="J45" t="s">
        <v>22</v>
      </c>
      <c r="K45" t="s">
        <v>45</v>
      </c>
      <c r="L45" t="s">
        <v>57</v>
      </c>
      <c r="M45" t="s">
        <v>66</v>
      </c>
      <c r="N45" t="s">
        <v>23</v>
      </c>
      <c r="P45" t="s">
        <v>51</v>
      </c>
      <c r="Q45">
        <v>0</v>
      </c>
      <c r="R45">
        <v>0</v>
      </c>
      <c r="S45">
        <f t="shared" ref="S45:S47" si="6">S44+Q45</f>
        <v>34</v>
      </c>
      <c r="T45">
        <f t="shared" ref="T45:T47" si="7">T44+R45</f>
        <v>18</v>
      </c>
      <c r="U45" s="4" t="str">
        <f t="shared" ref="U45:U47" si="8">S45&amp;"-"&amp;T45</f>
        <v>34-18</v>
      </c>
      <c r="V45">
        <v>1</v>
      </c>
    </row>
    <row r="46" spans="1:30" x14ac:dyDescent="0.25">
      <c r="A46" s="4">
        <v>18</v>
      </c>
      <c r="B46" s="4" t="s">
        <v>67</v>
      </c>
      <c r="C46" s="5">
        <v>46067</v>
      </c>
      <c r="D46" s="6">
        <v>0.77083333333333304</v>
      </c>
      <c r="E46" t="s">
        <v>63</v>
      </c>
      <c r="F46" s="11">
        <v>2</v>
      </c>
      <c r="G46">
        <v>1</v>
      </c>
      <c r="H46" t="s">
        <v>21</v>
      </c>
      <c r="I46" t="s">
        <v>75</v>
      </c>
      <c r="J46" t="s">
        <v>22</v>
      </c>
      <c r="K46" t="s">
        <v>45</v>
      </c>
      <c r="L46" t="s">
        <v>57</v>
      </c>
      <c r="M46" t="s">
        <v>50</v>
      </c>
      <c r="N46" t="s">
        <v>23</v>
      </c>
      <c r="P46" t="s">
        <v>51</v>
      </c>
      <c r="Q46">
        <v>0</v>
      </c>
      <c r="R46">
        <v>0</v>
      </c>
      <c r="S46">
        <f t="shared" si="6"/>
        <v>34</v>
      </c>
      <c r="T46">
        <f t="shared" si="7"/>
        <v>18</v>
      </c>
      <c r="U46" s="4" t="str">
        <f t="shared" si="8"/>
        <v>34-18</v>
      </c>
    </row>
    <row r="47" spans="1:30" x14ac:dyDescent="0.25">
      <c r="A47" s="4">
        <v>18</v>
      </c>
      <c r="B47" s="4" t="s">
        <v>67</v>
      </c>
      <c r="C47" s="5">
        <v>46067</v>
      </c>
      <c r="D47" s="6">
        <v>0.77083333333333304</v>
      </c>
      <c r="E47" t="s">
        <v>63</v>
      </c>
      <c r="F47" s="11">
        <v>2</v>
      </c>
      <c r="G47">
        <v>0</v>
      </c>
      <c r="H47" s="23" t="s">
        <v>48</v>
      </c>
      <c r="I47" s="23" t="s">
        <v>75</v>
      </c>
      <c r="J47" s="23" t="s">
        <v>22</v>
      </c>
      <c r="K47" s="23" t="s">
        <v>45</v>
      </c>
      <c r="L47" s="23" t="s">
        <v>57</v>
      </c>
      <c r="M47" s="23" t="s">
        <v>66</v>
      </c>
      <c r="N47" s="23" t="s">
        <v>55</v>
      </c>
      <c r="P47" s="23" t="s">
        <v>76</v>
      </c>
      <c r="Q47">
        <v>0</v>
      </c>
      <c r="R47">
        <v>0</v>
      </c>
      <c r="S47">
        <f t="shared" si="6"/>
        <v>34</v>
      </c>
      <c r="T47">
        <f t="shared" si="7"/>
        <v>18</v>
      </c>
      <c r="U47" s="4" t="str">
        <f t="shared" si="8"/>
        <v>34-18</v>
      </c>
      <c r="V47">
        <v>1</v>
      </c>
      <c r="Z47">
        <v>2</v>
      </c>
    </row>
    <row r="48" spans="1:30" x14ac:dyDescent="0.25">
      <c r="A48" s="4">
        <v>18</v>
      </c>
      <c r="B48" s="4" t="s">
        <v>67</v>
      </c>
      <c r="C48" s="5">
        <v>46067</v>
      </c>
      <c r="D48" s="6">
        <v>0.77083333333333304</v>
      </c>
      <c r="E48" t="s">
        <v>63</v>
      </c>
      <c r="F48" s="11">
        <v>2</v>
      </c>
      <c r="G48">
        <v>0</v>
      </c>
      <c r="H48" s="23" t="s">
        <v>48</v>
      </c>
      <c r="I48" s="23" t="s">
        <v>75</v>
      </c>
      <c r="J48" s="23" t="s">
        <v>22</v>
      </c>
      <c r="K48" s="23" t="s">
        <v>45</v>
      </c>
      <c r="L48" s="23" t="s">
        <v>57</v>
      </c>
      <c r="M48" t="s">
        <v>50</v>
      </c>
      <c r="N48" t="s">
        <v>30</v>
      </c>
      <c r="P48" t="s">
        <v>76</v>
      </c>
      <c r="Q48">
        <v>2</v>
      </c>
      <c r="R48">
        <v>3</v>
      </c>
      <c r="S48">
        <f t="shared" si="3"/>
        <v>36</v>
      </c>
      <c r="T48">
        <f t="shared" si="4"/>
        <v>21</v>
      </c>
      <c r="U48" s="4" t="str">
        <f t="shared" si="5"/>
        <v>36-21</v>
      </c>
      <c r="AB48" t="s">
        <v>71</v>
      </c>
      <c r="AC48" t="s">
        <v>62</v>
      </c>
      <c r="AD48">
        <v>3</v>
      </c>
    </row>
    <row r="49" spans="1:30" s="11" customFormat="1" x14ac:dyDescent="0.25">
      <c r="A49" s="11">
        <v>18</v>
      </c>
      <c r="B49" s="11" t="s">
        <v>67</v>
      </c>
      <c r="C49" s="11">
        <v>46067</v>
      </c>
      <c r="D49" s="11">
        <v>0.77083333333333304</v>
      </c>
      <c r="E49" s="11" t="s">
        <v>63</v>
      </c>
      <c r="F49" s="11">
        <v>2</v>
      </c>
      <c r="G49" s="11">
        <v>0</v>
      </c>
      <c r="H49" s="11" t="s">
        <v>48</v>
      </c>
      <c r="I49" s="11" t="s">
        <v>75</v>
      </c>
      <c r="J49" s="11" t="s">
        <v>22</v>
      </c>
      <c r="K49" s="11" t="s">
        <v>45</v>
      </c>
      <c r="L49" s="11" t="s">
        <v>57</v>
      </c>
      <c r="M49" s="11" t="s">
        <v>66</v>
      </c>
      <c r="N49" s="11" t="s">
        <v>55</v>
      </c>
      <c r="P49" s="11" t="s">
        <v>58</v>
      </c>
      <c r="Q49" s="11">
        <v>0</v>
      </c>
      <c r="R49" s="11">
        <v>0</v>
      </c>
      <c r="S49" s="11">
        <f t="shared" si="3"/>
        <v>36</v>
      </c>
      <c r="T49" s="11">
        <f t="shared" si="4"/>
        <v>21</v>
      </c>
      <c r="U49" s="11" t="str">
        <f t="shared" si="5"/>
        <v>36-21</v>
      </c>
    </row>
    <row r="50" spans="1:30" x14ac:dyDescent="0.25">
      <c r="A50" s="4">
        <v>18</v>
      </c>
      <c r="B50" s="4" t="s">
        <v>67</v>
      </c>
      <c r="C50" s="5">
        <v>46067</v>
      </c>
      <c r="D50" s="6">
        <v>0.77083333333333304</v>
      </c>
      <c r="E50" t="s">
        <v>63</v>
      </c>
      <c r="F50" s="12">
        <v>3</v>
      </c>
      <c r="G50">
        <v>9</v>
      </c>
      <c r="H50" s="23" t="s">
        <v>21</v>
      </c>
      <c r="I50" s="23" t="s">
        <v>42</v>
      </c>
      <c r="J50" s="23" t="s">
        <v>39</v>
      </c>
      <c r="K50" s="23" t="s">
        <v>45</v>
      </c>
      <c r="L50" s="23" t="s">
        <v>24</v>
      </c>
      <c r="M50" s="23" t="s">
        <v>54</v>
      </c>
      <c r="N50" s="23"/>
      <c r="P50" s="23" t="s">
        <v>54</v>
      </c>
      <c r="Q50">
        <v>0</v>
      </c>
      <c r="R50">
        <v>0</v>
      </c>
      <c r="S50">
        <f t="shared" si="3"/>
        <v>36</v>
      </c>
      <c r="T50">
        <f t="shared" si="4"/>
        <v>21</v>
      </c>
      <c r="U50" s="4" t="str">
        <f t="shared" si="5"/>
        <v>36-21</v>
      </c>
      <c r="AB50" t="s">
        <v>77</v>
      </c>
      <c r="AC50" t="s">
        <v>34</v>
      </c>
    </row>
    <row r="51" spans="1:30" x14ac:dyDescent="0.25">
      <c r="A51" s="4">
        <v>18</v>
      </c>
      <c r="B51" s="4" t="s">
        <v>67</v>
      </c>
      <c r="C51" s="5">
        <v>46067</v>
      </c>
      <c r="D51" s="6">
        <v>0.77083333333333304</v>
      </c>
      <c r="E51" t="s">
        <v>63</v>
      </c>
      <c r="F51" s="12">
        <v>3</v>
      </c>
      <c r="G51">
        <v>9</v>
      </c>
      <c r="H51" s="23" t="s">
        <v>21</v>
      </c>
      <c r="I51" s="23" t="s">
        <v>42</v>
      </c>
      <c r="J51" s="23" t="s">
        <v>39</v>
      </c>
      <c r="K51" s="23" t="s">
        <v>45</v>
      </c>
      <c r="L51" s="23" t="s">
        <v>24</v>
      </c>
      <c r="M51" s="23" t="s">
        <v>54</v>
      </c>
      <c r="N51" s="23"/>
      <c r="P51" s="23"/>
      <c r="Q51">
        <v>0</v>
      </c>
      <c r="R51">
        <v>0</v>
      </c>
      <c r="S51">
        <f t="shared" si="3"/>
        <v>36</v>
      </c>
      <c r="T51">
        <f t="shared" si="4"/>
        <v>21</v>
      </c>
      <c r="U51" s="4" t="str">
        <f t="shared" si="5"/>
        <v>36-21</v>
      </c>
      <c r="AB51" t="s">
        <v>77</v>
      </c>
      <c r="AC51" t="s">
        <v>55</v>
      </c>
    </row>
    <row r="52" spans="1:30" x14ac:dyDescent="0.25">
      <c r="A52" s="4">
        <v>18</v>
      </c>
      <c r="B52" s="4" t="s">
        <v>67</v>
      </c>
      <c r="C52" s="5">
        <v>46067</v>
      </c>
      <c r="D52" s="6">
        <v>0.77083333333333304</v>
      </c>
      <c r="E52" t="s">
        <v>63</v>
      </c>
      <c r="F52" s="12">
        <v>3</v>
      </c>
      <c r="G52">
        <v>9</v>
      </c>
      <c r="H52" s="23" t="s">
        <v>21</v>
      </c>
      <c r="I52" s="23" t="s">
        <v>42</v>
      </c>
      <c r="J52" s="23" t="s">
        <v>39</v>
      </c>
      <c r="K52" s="23" t="s">
        <v>45</v>
      </c>
      <c r="L52" s="23" t="s">
        <v>24</v>
      </c>
      <c r="M52" s="23" t="s">
        <v>66</v>
      </c>
      <c r="N52" s="23" t="s">
        <v>55</v>
      </c>
      <c r="P52" s="23" t="s">
        <v>40</v>
      </c>
      <c r="Q52">
        <v>0</v>
      </c>
      <c r="R52">
        <v>2</v>
      </c>
      <c r="S52">
        <f t="shared" si="3"/>
        <v>36</v>
      </c>
      <c r="T52">
        <f t="shared" si="4"/>
        <v>23</v>
      </c>
      <c r="U52" s="4" t="str">
        <f t="shared" si="5"/>
        <v>36-23</v>
      </c>
      <c r="AB52" t="s">
        <v>77</v>
      </c>
      <c r="AC52" t="s">
        <v>30</v>
      </c>
      <c r="AD52">
        <v>2</v>
      </c>
    </row>
    <row r="53" spans="1:30" x14ac:dyDescent="0.25">
      <c r="A53" s="4">
        <v>18</v>
      </c>
      <c r="B53" s="4" t="s">
        <v>67</v>
      </c>
      <c r="C53" s="5">
        <v>46067</v>
      </c>
      <c r="D53" s="6">
        <v>0.77083333333333304</v>
      </c>
      <c r="E53" t="s">
        <v>63</v>
      </c>
      <c r="F53" s="12">
        <v>3</v>
      </c>
      <c r="G53">
        <v>9</v>
      </c>
      <c r="H53" s="23" t="s">
        <v>21</v>
      </c>
      <c r="I53" s="23" t="s">
        <v>42</v>
      </c>
      <c r="J53" s="23" t="s">
        <v>39</v>
      </c>
      <c r="K53" s="23" t="s">
        <v>45</v>
      </c>
      <c r="L53" s="23" t="s">
        <v>24</v>
      </c>
      <c r="M53" s="23" t="s">
        <v>77</v>
      </c>
      <c r="N53" s="23" t="s">
        <v>23</v>
      </c>
      <c r="P53" s="23" t="s">
        <v>51</v>
      </c>
      <c r="Q53">
        <v>0</v>
      </c>
      <c r="R53">
        <v>0</v>
      </c>
      <c r="S53">
        <f t="shared" si="3"/>
        <v>36</v>
      </c>
      <c r="T53">
        <f t="shared" si="4"/>
        <v>23</v>
      </c>
      <c r="U53" s="4" t="str">
        <f t="shared" si="5"/>
        <v>36-23</v>
      </c>
    </row>
    <row r="54" spans="1:30" x14ac:dyDescent="0.25">
      <c r="A54" s="4">
        <v>18</v>
      </c>
      <c r="B54" s="4" t="s">
        <v>67</v>
      </c>
      <c r="C54" s="5">
        <v>46067</v>
      </c>
      <c r="D54" s="6">
        <v>0.77083333333333304</v>
      </c>
      <c r="E54" t="s">
        <v>63</v>
      </c>
      <c r="F54" s="12">
        <v>3</v>
      </c>
      <c r="G54">
        <v>8</v>
      </c>
      <c r="H54" s="23" t="s">
        <v>21</v>
      </c>
      <c r="I54" s="23" t="s">
        <v>42</v>
      </c>
      <c r="J54" s="23" t="s">
        <v>39</v>
      </c>
      <c r="K54" s="23" t="s">
        <v>45</v>
      </c>
      <c r="L54" s="23" t="s">
        <v>24</v>
      </c>
      <c r="M54" s="23" t="s">
        <v>77</v>
      </c>
      <c r="N54" s="23" t="s">
        <v>81</v>
      </c>
      <c r="P54" s="23"/>
      <c r="Q54">
        <v>0</v>
      </c>
      <c r="R54">
        <v>0</v>
      </c>
      <c r="S54">
        <f t="shared" si="3"/>
        <v>36</v>
      </c>
      <c r="T54">
        <f t="shared" si="4"/>
        <v>23</v>
      </c>
      <c r="U54" s="4" t="str">
        <f t="shared" si="5"/>
        <v>36-23</v>
      </c>
    </row>
    <row r="55" spans="1:30" x14ac:dyDescent="0.25">
      <c r="A55" s="4">
        <v>18</v>
      </c>
      <c r="B55" s="4" t="s">
        <v>67</v>
      </c>
      <c r="C55" s="5">
        <v>46067</v>
      </c>
      <c r="D55" s="6">
        <v>0.77083333333333304</v>
      </c>
      <c r="E55" t="s">
        <v>63</v>
      </c>
      <c r="F55" s="12">
        <v>3</v>
      </c>
      <c r="G55">
        <v>8</v>
      </c>
      <c r="H55" s="23" t="s">
        <v>21</v>
      </c>
      <c r="I55" s="23" t="s">
        <v>42</v>
      </c>
      <c r="J55" s="23" t="s">
        <v>39</v>
      </c>
      <c r="K55" s="23" t="s">
        <v>45</v>
      </c>
      <c r="L55" s="23" t="s">
        <v>24</v>
      </c>
      <c r="M55" s="23" t="s">
        <v>79</v>
      </c>
      <c r="N55" s="23" t="s">
        <v>32</v>
      </c>
      <c r="P55" s="23" t="s">
        <v>33</v>
      </c>
      <c r="Q55">
        <v>0</v>
      </c>
      <c r="R55">
        <v>0</v>
      </c>
      <c r="S55">
        <f t="shared" si="3"/>
        <v>36</v>
      </c>
      <c r="T55">
        <f t="shared" si="4"/>
        <v>23</v>
      </c>
      <c r="U55" s="4" t="str">
        <f t="shared" si="5"/>
        <v>36-23</v>
      </c>
      <c r="AB55" t="s">
        <v>71</v>
      </c>
      <c r="AC55" t="s">
        <v>32</v>
      </c>
    </row>
    <row r="56" spans="1:30" x14ac:dyDescent="0.25">
      <c r="A56" s="4">
        <v>18</v>
      </c>
      <c r="B56" s="4" t="s">
        <v>67</v>
      </c>
      <c r="C56" s="5">
        <v>46067</v>
      </c>
      <c r="D56" s="6">
        <v>0.77083333333333304</v>
      </c>
      <c r="E56" t="s">
        <v>63</v>
      </c>
      <c r="F56" s="12">
        <v>3</v>
      </c>
      <c r="G56">
        <v>7</v>
      </c>
      <c r="H56" s="23" t="s">
        <v>21</v>
      </c>
      <c r="I56" s="23" t="s">
        <v>42</v>
      </c>
      <c r="J56" s="23" t="s">
        <v>22</v>
      </c>
      <c r="K56" s="23" t="s">
        <v>39</v>
      </c>
      <c r="L56" s="23" t="s">
        <v>24</v>
      </c>
      <c r="M56" s="23" t="s">
        <v>66</v>
      </c>
      <c r="N56" s="23" t="s">
        <v>30</v>
      </c>
      <c r="P56" s="23" t="s">
        <v>60</v>
      </c>
      <c r="Q56">
        <v>2</v>
      </c>
      <c r="R56">
        <v>0</v>
      </c>
      <c r="S56">
        <f t="shared" si="3"/>
        <v>38</v>
      </c>
      <c r="T56">
        <f t="shared" si="4"/>
        <v>23</v>
      </c>
      <c r="U56" s="4" t="str">
        <f t="shared" si="5"/>
        <v>38-23</v>
      </c>
      <c r="AB56" t="s">
        <v>71</v>
      </c>
      <c r="AC56" t="s">
        <v>23</v>
      </c>
    </row>
    <row r="57" spans="1:30" x14ac:dyDescent="0.25">
      <c r="A57" s="4">
        <v>18</v>
      </c>
      <c r="B57" s="4" t="s">
        <v>67</v>
      </c>
      <c r="C57" s="5">
        <v>46067</v>
      </c>
      <c r="D57" s="6">
        <v>0.77083333333333304</v>
      </c>
      <c r="E57" t="s">
        <v>63</v>
      </c>
      <c r="F57" s="12">
        <v>3</v>
      </c>
      <c r="G57">
        <v>7</v>
      </c>
      <c r="H57" s="23" t="s">
        <v>21</v>
      </c>
      <c r="I57" s="23" t="s">
        <v>42</v>
      </c>
      <c r="J57" s="23" t="s">
        <v>22</v>
      </c>
      <c r="K57" s="23" t="s">
        <v>39</v>
      </c>
      <c r="L57" s="23" t="s">
        <v>24</v>
      </c>
      <c r="M57" s="23" t="s">
        <v>50</v>
      </c>
      <c r="N57" s="23" t="s">
        <v>30</v>
      </c>
      <c r="O57" s="23" t="s">
        <v>44</v>
      </c>
      <c r="P57" s="23" t="s">
        <v>60</v>
      </c>
      <c r="Q57">
        <v>2</v>
      </c>
      <c r="R57">
        <v>2</v>
      </c>
      <c r="S57">
        <f t="shared" si="3"/>
        <v>40</v>
      </c>
      <c r="T57">
        <f t="shared" si="4"/>
        <v>25</v>
      </c>
      <c r="U57" s="4" t="str">
        <f t="shared" si="5"/>
        <v>40-25</v>
      </c>
      <c r="AB57" t="s">
        <v>71</v>
      </c>
      <c r="AC57" t="s">
        <v>30</v>
      </c>
      <c r="AD57">
        <v>2</v>
      </c>
    </row>
    <row r="58" spans="1:30" x14ac:dyDescent="0.25">
      <c r="A58" s="4">
        <v>18</v>
      </c>
      <c r="B58" s="4" t="s">
        <v>67</v>
      </c>
      <c r="C58" s="5">
        <v>46067</v>
      </c>
      <c r="D58" s="6">
        <v>0.77083333333333304</v>
      </c>
      <c r="E58" t="s">
        <v>63</v>
      </c>
      <c r="F58" s="12">
        <v>3</v>
      </c>
      <c r="G58">
        <v>6</v>
      </c>
      <c r="H58" s="23" t="s">
        <v>21</v>
      </c>
      <c r="I58" s="23" t="s">
        <v>42</v>
      </c>
      <c r="J58" s="23" t="s">
        <v>22</v>
      </c>
      <c r="K58" s="23" t="s">
        <v>39</v>
      </c>
      <c r="L58" s="23" t="s">
        <v>24</v>
      </c>
      <c r="M58" s="23" t="s">
        <v>66</v>
      </c>
      <c r="N58" s="23" t="s">
        <v>32</v>
      </c>
      <c r="P58" s="23" t="s">
        <v>40</v>
      </c>
      <c r="Q58">
        <v>0</v>
      </c>
      <c r="R58">
        <v>2</v>
      </c>
      <c r="S58">
        <f t="shared" si="3"/>
        <v>40</v>
      </c>
      <c r="T58">
        <f t="shared" si="4"/>
        <v>27</v>
      </c>
      <c r="U58" s="4" t="str">
        <f t="shared" si="5"/>
        <v>40-27</v>
      </c>
      <c r="AB58" t="s">
        <v>47</v>
      </c>
      <c r="AC58" t="s">
        <v>30</v>
      </c>
      <c r="AD58">
        <v>2</v>
      </c>
    </row>
    <row r="59" spans="1:30" x14ac:dyDescent="0.25">
      <c r="A59" s="4">
        <v>18</v>
      </c>
      <c r="B59" s="4" t="s">
        <v>67</v>
      </c>
      <c r="C59" s="5">
        <v>46067</v>
      </c>
      <c r="D59" s="6">
        <v>0.77083333333333304</v>
      </c>
      <c r="E59" t="s">
        <v>63</v>
      </c>
      <c r="F59" s="12">
        <v>3</v>
      </c>
      <c r="G59">
        <v>6</v>
      </c>
      <c r="H59" s="23" t="s">
        <v>21</v>
      </c>
      <c r="I59" s="23" t="s">
        <v>42</v>
      </c>
      <c r="J59" s="23" t="s">
        <v>22</v>
      </c>
      <c r="K59" s="23" t="s">
        <v>39</v>
      </c>
      <c r="L59" s="23" t="s">
        <v>24</v>
      </c>
      <c r="M59" s="23" t="s">
        <v>77</v>
      </c>
      <c r="N59" s="23" t="s">
        <v>62</v>
      </c>
      <c r="P59" s="23" t="s">
        <v>33</v>
      </c>
      <c r="Q59">
        <v>3</v>
      </c>
      <c r="R59">
        <v>0</v>
      </c>
      <c r="S59">
        <f t="shared" si="3"/>
        <v>43</v>
      </c>
      <c r="T59">
        <f t="shared" si="4"/>
        <v>27</v>
      </c>
      <c r="U59" s="4" t="str">
        <f t="shared" si="5"/>
        <v>43-27</v>
      </c>
      <c r="AB59" t="s">
        <v>71</v>
      </c>
      <c r="AC59" t="s">
        <v>32</v>
      </c>
    </row>
    <row r="60" spans="1:30" s="8" customFormat="1" x14ac:dyDescent="0.25">
      <c r="A60" s="4">
        <v>18</v>
      </c>
      <c r="B60" s="4" t="s">
        <v>67</v>
      </c>
      <c r="C60" s="5">
        <v>46067</v>
      </c>
      <c r="D60" s="6">
        <v>0.77083333333333304</v>
      </c>
      <c r="E60" t="s">
        <v>63</v>
      </c>
      <c r="F60" s="33">
        <v>3</v>
      </c>
      <c r="G60" s="8">
        <v>7</v>
      </c>
      <c r="H60" s="23" t="s">
        <v>21</v>
      </c>
      <c r="I60" s="23" t="s">
        <v>42</v>
      </c>
      <c r="J60" s="23" t="s">
        <v>22</v>
      </c>
      <c r="K60" s="23" t="s">
        <v>39</v>
      </c>
      <c r="L60" s="23" t="s">
        <v>24</v>
      </c>
      <c r="M60" s="8" t="s">
        <v>77</v>
      </c>
      <c r="N60" s="8" t="s">
        <v>55</v>
      </c>
      <c r="P60" s="8" t="s">
        <v>33</v>
      </c>
      <c r="Q60" s="8">
        <v>0</v>
      </c>
      <c r="R60" s="8">
        <v>0</v>
      </c>
      <c r="S60">
        <f t="shared" si="3"/>
        <v>43</v>
      </c>
      <c r="T60">
        <f t="shared" si="4"/>
        <v>27</v>
      </c>
      <c r="U60" s="4" t="str">
        <f t="shared" si="5"/>
        <v>43-27</v>
      </c>
    </row>
    <row r="61" spans="1:30" x14ac:dyDescent="0.25">
      <c r="A61" s="4">
        <v>18</v>
      </c>
      <c r="B61" s="4" t="s">
        <v>67</v>
      </c>
      <c r="C61" s="5">
        <v>46067</v>
      </c>
      <c r="D61" s="6">
        <v>0.77083333333333304</v>
      </c>
      <c r="E61" t="s">
        <v>63</v>
      </c>
      <c r="F61" s="12">
        <v>3</v>
      </c>
      <c r="G61">
        <v>6</v>
      </c>
      <c r="H61" s="23" t="s">
        <v>21</v>
      </c>
      <c r="I61" s="23" t="s">
        <v>42</v>
      </c>
      <c r="J61" s="23" t="s">
        <v>22</v>
      </c>
      <c r="K61" s="23" t="s">
        <v>39</v>
      </c>
      <c r="L61" s="23" t="s">
        <v>24</v>
      </c>
      <c r="M61" s="23" t="s">
        <v>50</v>
      </c>
      <c r="N61" s="23" t="s">
        <v>23</v>
      </c>
      <c r="P61" s="23" t="s">
        <v>40</v>
      </c>
      <c r="Q61">
        <v>0</v>
      </c>
      <c r="R61">
        <v>0</v>
      </c>
      <c r="S61">
        <f t="shared" si="3"/>
        <v>43</v>
      </c>
      <c r="T61">
        <f t="shared" si="4"/>
        <v>27</v>
      </c>
      <c r="U61" s="4" t="str">
        <f t="shared" si="5"/>
        <v>43-27</v>
      </c>
      <c r="V61">
        <v>1</v>
      </c>
    </row>
    <row r="62" spans="1:30" x14ac:dyDescent="0.25">
      <c r="A62" s="4">
        <v>18</v>
      </c>
      <c r="B62" s="4" t="s">
        <v>67</v>
      </c>
      <c r="C62" s="5">
        <v>46067</v>
      </c>
      <c r="D62" s="6">
        <v>0.77083333333333304</v>
      </c>
      <c r="E62" t="s">
        <v>63</v>
      </c>
      <c r="F62" s="12">
        <v>3</v>
      </c>
      <c r="G62">
        <v>5</v>
      </c>
      <c r="H62" s="23" t="s">
        <v>21</v>
      </c>
      <c r="I62" s="23" t="s">
        <v>42</v>
      </c>
      <c r="J62" s="23" t="s">
        <v>22</v>
      </c>
      <c r="K62" s="23" t="s">
        <v>39</v>
      </c>
      <c r="L62" s="23" t="s">
        <v>24</v>
      </c>
      <c r="M62" s="23" t="s">
        <v>50</v>
      </c>
      <c r="N62" s="23" t="s">
        <v>23</v>
      </c>
      <c r="P62" s="23" t="s">
        <v>60</v>
      </c>
      <c r="Q62">
        <v>0</v>
      </c>
      <c r="R62">
        <v>0</v>
      </c>
      <c r="S62">
        <f t="shared" si="3"/>
        <v>43</v>
      </c>
      <c r="T62">
        <f t="shared" si="4"/>
        <v>27</v>
      </c>
      <c r="U62" s="4" t="str">
        <f t="shared" si="5"/>
        <v>43-27</v>
      </c>
      <c r="V62">
        <v>1</v>
      </c>
    </row>
    <row r="63" spans="1:30" x14ac:dyDescent="0.25">
      <c r="A63" s="4">
        <v>18</v>
      </c>
      <c r="B63" s="4" t="s">
        <v>67</v>
      </c>
      <c r="C63" s="5">
        <v>46067</v>
      </c>
      <c r="D63" s="6">
        <v>0.77083333333333304</v>
      </c>
      <c r="E63" t="s">
        <v>63</v>
      </c>
      <c r="F63" s="12">
        <v>3</v>
      </c>
      <c r="G63">
        <v>5</v>
      </c>
      <c r="H63" s="23" t="s">
        <v>21</v>
      </c>
      <c r="I63" s="23" t="s">
        <v>42</v>
      </c>
      <c r="J63" s="23" t="s">
        <v>22</v>
      </c>
      <c r="K63" s="23" t="s">
        <v>39</v>
      </c>
      <c r="L63" s="23" t="s">
        <v>24</v>
      </c>
      <c r="M63" s="23" t="s">
        <v>50</v>
      </c>
      <c r="N63" s="23" t="s">
        <v>55</v>
      </c>
      <c r="P63" s="23" t="s">
        <v>40</v>
      </c>
      <c r="Q63">
        <v>0</v>
      </c>
      <c r="R63" s="28">
        <v>2</v>
      </c>
      <c r="S63">
        <f t="shared" si="3"/>
        <v>43</v>
      </c>
      <c r="T63">
        <f t="shared" si="4"/>
        <v>29</v>
      </c>
      <c r="U63" s="4" t="str">
        <f t="shared" si="5"/>
        <v>43-29</v>
      </c>
      <c r="V63">
        <v>1</v>
      </c>
      <c r="AB63" t="s">
        <v>77</v>
      </c>
      <c r="AC63" t="s">
        <v>62</v>
      </c>
      <c r="AD63">
        <v>3</v>
      </c>
    </row>
    <row r="64" spans="1:30" x14ac:dyDescent="0.25">
      <c r="A64" s="4">
        <v>18</v>
      </c>
      <c r="B64" s="4" t="s">
        <v>67</v>
      </c>
      <c r="C64" s="5">
        <v>46067</v>
      </c>
      <c r="D64" s="6">
        <v>0.77083333333333304</v>
      </c>
      <c r="E64" t="s">
        <v>63</v>
      </c>
      <c r="F64" s="12">
        <v>3</v>
      </c>
      <c r="G64">
        <v>5</v>
      </c>
      <c r="H64" s="23" t="s">
        <v>21</v>
      </c>
      <c r="I64" s="23" t="s">
        <v>42</v>
      </c>
      <c r="J64" s="23" t="s">
        <v>22</v>
      </c>
      <c r="K64" s="23" t="s">
        <v>39</v>
      </c>
      <c r="L64" s="23" t="s">
        <v>24</v>
      </c>
      <c r="M64" s="23" t="s">
        <v>77</v>
      </c>
      <c r="N64" s="23" t="s">
        <v>23</v>
      </c>
      <c r="P64" s="23" t="s">
        <v>40</v>
      </c>
      <c r="Q64">
        <v>0</v>
      </c>
      <c r="R64">
        <v>2</v>
      </c>
      <c r="S64">
        <f t="shared" si="3"/>
        <v>43</v>
      </c>
      <c r="T64">
        <f t="shared" si="4"/>
        <v>31</v>
      </c>
      <c r="U64" s="4" t="str">
        <f t="shared" si="5"/>
        <v>43-31</v>
      </c>
      <c r="AB64" t="s">
        <v>77</v>
      </c>
      <c r="AC64" t="s">
        <v>34</v>
      </c>
      <c r="AD64">
        <v>2</v>
      </c>
    </row>
    <row r="65" spans="1:30" x14ac:dyDescent="0.25">
      <c r="A65" s="4">
        <v>18</v>
      </c>
      <c r="B65" s="4" t="s">
        <v>67</v>
      </c>
      <c r="C65" s="5">
        <v>46067</v>
      </c>
      <c r="D65" s="6">
        <v>0.77083333333333304</v>
      </c>
      <c r="E65" t="s">
        <v>63</v>
      </c>
      <c r="F65" s="12">
        <v>3</v>
      </c>
      <c r="G65">
        <v>4</v>
      </c>
      <c r="H65" s="23" t="s">
        <v>21</v>
      </c>
      <c r="I65" s="23" t="s">
        <v>75</v>
      </c>
      <c r="J65" s="23" t="s">
        <v>22</v>
      </c>
      <c r="K65" s="23" t="s">
        <v>45</v>
      </c>
      <c r="L65" s="23" t="s">
        <v>24</v>
      </c>
      <c r="M65" s="23" t="s">
        <v>66</v>
      </c>
      <c r="N65" s="23" t="s">
        <v>55</v>
      </c>
      <c r="P65" s="23" t="s">
        <v>46</v>
      </c>
      <c r="Q65">
        <v>0</v>
      </c>
      <c r="R65">
        <v>0</v>
      </c>
      <c r="S65">
        <f t="shared" si="3"/>
        <v>43</v>
      </c>
      <c r="T65">
        <f t="shared" si="4"/>
        <v>31</v>
      </c>
      <c r="U65" s="4" t="str">
        <f t="shared" si="5"/>
        <v>43-31</v>
      </c>
      <c r="AB65" t="s">
        <v>77</v>
      </c>
      <c r="AC65" t="s">
        <v>55</v>
      </c>
      <c r="AD65">
        <v>0</v>
      </c>
    </row>
    <row r="66" spans="1:30" x14ac:dyDescent="0.25">
      <c r="A66" s="4">
        <v>18</v>
      </c>
      <c r="B66" s="4" t="s">
        <v>67</v>
      </c>
      <c r="C66" s="5">
        <v>46067</v>
      </c>
      <c r="D66" s="6">
        <v>0.77083333333333304</v>
      </c>
      <c r="E66" t="s">
        <v>63</v>
      </c>
      <c r="F66" s="12">
        <v>3</v>
      </c>
      <c r="G66">
        <v>4</v>
      </c>
      <c r="H66" s="23" t="s">
        <v>21</v>
      </c>
      <c r="I66" s="23" t="s">
        <v>75</v>
      </c>
      <c r="J66" s="23" t="s">
        <v>22</v>
      </c>
      <c r="K66" s="23" t="s">
        <v>45</v>
      </c>
      <c r="L66" s="23" t="s">
        <v>24</v>
      </c>
      <c r="M66" s="23" t="s">
        <v>77</v>
      </c>
      <c r="N66" s="23" t="s">
        <v>32</v>
      </c>
      <c r="P66" s="23" t="s">
        <v>51</v>
      </c>
      <c r="Q66">
        <v>0</v>
      </c>
      <c r="R66">
        <v>0</v>
      </c>
      <c r="S66">
        <f t="shared" si="3"/>
        <v>43</v>
      </c>
      <c r="T66">
        <f t="shared" si="4"/>
        <v>31</v>
      </c>
      <c r="U66" s="4" t="str">
        <f t="shared" si="5"/>
        <v>43-31</v>
      </c>
      <c r="X66">
        <v>1</v>
      </c>
      <c r="AB66" t="s">
        <v>77</v>
      </c>
      <c r="AC66" t="s">
        <v>55</v>
      </c>
      <c r="AD66">
        <v>0</v>
      </c>
    </row>
    <row r="67" spans="1:30" x14ac:dyDescent="0.25">
      <c r="A67" s="4">
        <v>18</v>
      </c>
      <c r="B67" s="4" t="s">
        <v>67</v>
      </c>
      <c r="C67" s="5">
        <v>46067</v>
      </c>
      <c r="D67" s="6">
        <v>0.77083333333333304</v>
      </c>
      <c r="E67" t="s">
        <v>63</v>
      </c>
      <c r="F67" s="12">
        <v>3</v>
      </c>
      <c r="G67">
        <v>4</v>
      </c>
      <c r="H67" s="23" t="s">
        <v>21</v>
      </c>
      <c r="I67" s="23" t="s">
        <v>75</v>
      </c>
      <c r="J67" s="23" t="s">
        <v>22</v>
      </c>
      <c r="K67" s="23" t="s">
        <v>45</v>
      </c>
      <c r="L67" s="23" t="s">
        <v>24</v>
      </c>
      <c r="M67" s="23" t="s">
        <v>54</v>
      </c>
      <c r="N67" s="23"/>
      <c r="P67" s="23" t="s">
        <v>60</v>
      </c>
      <c r="Q67">
        <v>2</v>
      </c>
      <c r="R67">
        <v>0</v>
      </c>
      <c r="S67">
        <f t="shared" si="3"/>
        <v>45</v>
      </c>
      <c r="T67">
        <f t="shared" si="4"/>
        <v>31</v>
      </c>
      <c r="U67" s="4" t="str">
        <f t="shared" si="5"/>
        <v>45-31</v>
      </c>
      <c r="AB67" t="s">
        <v>77</v>
      </c>
      <c r="AC67" t="s">
        <v>23</v>
      </c>
    </row>
    <row r="68" spans="1:30" x14ac:dyDescent="0.25">
      <c r="A68" s="4">
        <v>18</v>
      </c>
      <c r="B68" s="4" t="s">
        <v>67</v>
      </c>
      <c r="C68" s="5">
        <v>46067</v>
      </c>
      <c r="D68" s="6">
        <v>0.77083333333333304</v>
      </c>
      <c r="E68" t="s">
        <v>63</v>
      </c>
      <c r="F68" s="12">
        <v>3</v>
      </c>
      <c r="G68">
        <v>3</v>
      </c>
      <c r="H68" s="23" t="s">
        <v>21</v>
      </c>
      <c r="I68" s="23" t="s">
        <v>75</v>
      </c>
      <c r="J68" s="23" t="s">
        <v>22</v>
      </c>
      <c r="K68" s="23" t="s">
        <v>45</v>
      </c>
      <c r="L68" s="23" t="s">
        <v>24</v>
      </c>
      <c r="M68" s="9" t="s">
        <v>85</v>
      </c>
      <c r="N68" s="23" t="s">
        <v>55</v>
      </c>
      <c r="P68" s="23" t="s">
        <v>76</v>
      </c>
      <c r="Q68" s="23">
        <v>0</v>
      </c>
      <c r="R68">
        <v>3</v>
      </c>
      <c r="S68">
        <f t="shared" si="3"/>
        <v>45</v>
      </c>
      <c r="T68">
        <f t="shared" si="4"/>
        <v>34</v>
      </c>
      <c r="U68" s="4" t="str">
        <f t="shared" si="5"/>
        <v>45-34</v>
      </c>
      <c r="AB68" t="s">
        <v>71</v>
      </c>
      <c r="AC68" t="s">
        <v>62</v>
      </c>
      <c r="AD68">
        <v>3</v>
      </c>
    </row>
    <row r="69" spans="1:30" x14ac:dyDescent="0.25">
      <c r="A69" s="4">
        <v>18</v>
      </c>
      <c r="B69" s="4" t="s">
        <v>67</v>
      </c>
      <c r="C69" s="5">
        <v>46067</v>
      </c>
      <c r="D69" s="6">
        <v>0.77083333333333304</v>
      </c>
      <c r="E69" t="s">
        <v>63</v>
      </c>
      <c r="F69" s="12">
        <v>3</v>
      </c>
      <c r="G69">
        <v>3</v>
      </c>
      <c r="H69" s="23" t="s">
        <v>21</v>
      </c>
      <c r="I69" s="23" t="s">
        <v>75</v>
      </c>
      <c r="J69" s="23" t="s">
        <v>22</v>
      </c>
      <c r="K69" s="23" t="s">
        <v>45</v>
      </c>
      <c r="L69" s="23" t="s">
        <v>24</v>
      </c>
      <c r="M69" s="22" t="s">
        <v>77</v>
      </c>
      <c r="N69" s="23" t="s">
        <v>32</v>
      </c>
      <c r="P69" s="23" t="s">
        <v>46</v>
      </c>
      <c r="Q69">
        <v>0</v>
      </c>
      <c r="R69" s="28">
        <v>0</v>
      </c>
      <c r="S69">
        <f t="shared" si="3"/>
        <v>45</v>
      </c>
      <c r="T69">
        <f t="shared" si="4"/>
        <v>34</v>
      </c>
      <c r="U69" s="4" t="str">
        <f t="shared" si="5"/>
        <v>45-34</v>
      </c>
      <c r="AB69" t="s">
        <v>77</v>
      </c>
      <c r="AC69" t="s">
        <v>32</v>
      </c>
      <c r="AD69">
        <v>0</v>
      </c>
    </row>
    <row r="70" spans="1:30" x14ac:dyDescent="0.25">
      <c r="A70" s="4">
        <v>18</v>
      </c>
      <c r="B70" s="4" t="s">
        <v>67</v>
      </c>
      <c r="C70" s="5">
        <v>46067</v>
      </c>
      <c r="D70" s="6">
        <v>0.77083333333333304</v>
      </c>
      <c r="E70" t="s">
        <v>63</v>
      </c>
      <c r="F70" s="12">
        <v>3</v>
      </c>
      <c r="G70">
        <v>2</v>
      </c>
      <c r="H70" s="23" t="s">
        <v>21</v>
      </c>
      <c r="I70" s="23" t="s">
        <v>75</v>
      </c>
      <c r="J70" s="23" t="s">
        <v>22</v>
      </c>
      <c r="K70" s="23" t="s">
        <v>45</v>
      </c>
      <c r="L70" s="23" t="s">
        <v>24</v>
      </c>
      <c r="M70" s="23" t="s">
        <v>47</v>
      </c>
      <c r="N70" s="23" t="s">
        <v>30</v>
      </c>
      <c r="P70" s="23" t="s">
        <v>76</v>
      </c>
      <c r="Q70">
        <v>2</v>
      </c>
      <c r="R70" s="28">
        <v>0</v>
      </c>
      <c r="S70">
        <f t="shared" si="3"/>
        <v>47</v>
      </c>
      <c r="T70">
        <f t="shared" si="4"/>
        <v>34</v>
      </c>
      <c r="U70" s="4" t="str">
        <f t="shared" si="5"/>
        <v>47-34</v>
      </c>
      <c r="AB70" t="s">
        <v>77</v>
      </c>
      <c r="AC70" t="s">
        <v>32</v>
      </c>
      <c r="AD70">
        <v>0</v>
      </c>
    </row>
    <row r="71" spans="1:30" x14ac:dyDescent="0.25">
      <c r="A71" s="4">
        <v>18</v>
      </c>
      <c r="B71" s="4" t="s">
        <v>67</v>
      </c>
      <c r="C71" s="5">
        <v>46067</v>
      </c>
      <c r="D71" s="6">
        <v>0.77083333333333304</v>
      </c>
      <c r="E71" t="s">
        <v>63</v>
      </c>
      <c r="F71" s="12">
        <v>3</v>
      </c>
      <c r="G71">
        <v>2</v>
      </c>
      <c r="H71" s="23" t="s">
        <v>48</v>
      </c>
      <c r="I71" s="23" t="s">
        <v>75</v>
      </c>
      <c r="J71" s="23" t="s">
        <v>22</v>
      </c>
      <c r="K71" s="23" t="s">
        <v>45</v>
      </c>
      <c r="L71" s="23" t="s">
        <v>57</v>
      </c>
      <c r="M71" s="23" t="s">
        <v>77</v>
      </c>
      <c r="N71" s="23" t="s">
        <v>23</v>
      </c>
      <c r="P71" s="23" t="s">
        <v>76</v>
      </c>
      <c r="Q71">
        <v>0</v>
      </c>
      <c r="R71">
        <v>2</v>
      </c>
      <c r="S71">
        <f t="shared" si="3"/>
        <v>47</v>
      </c>
      <c r="T71">
        <f t="shared" si="4"/>
        <v>36</v>
      </c>
      <c r="U71" s="4" t="str">
        <f t="shared" si="5"/>
        <v>47-36</v>
      </c>
    </row>
    <row r="72" spans="1:30" x14ac:dyDescent="0.25">
      <c r="A72" s="4">
        <v>18</v>
      </c>
      <c r="B72" s="4" t="s">
        <v>67</v>
      </c>
      <c r="C72" s="5">
        <v>46067</v>
      </c>
      <c r="D72" s="6">
        <v>0.77083333333333304</v>
      </c>
      <c r="E72" t="s">
        <v>63</v>
      </c>
      <c r="F72" s="12">
        <v>3</v>
      </c>
      <c r="G72">
        <v>2</v>
      </c>
      <c r="H72" s="23" t="s">
        <v>48</v>
      </c>
      <c r="I72" s="23" t="s">
        <v>75</v>
      </c>
      <c r="J72" s="23" t="s">
        <v>22</v>
      </c>
      <c r="K72" s="23" t="s">
        <v>45</v>
      </c>
      <c r="L72" s="23" t="s">
        <v>57</v>
      </c>
      <c r="M72" s="23" t="s">
        <v>77</v>
      </c>
      <c r="N72" s="23" t="s">
        <v>81</v>
      </c>
      <c r="P72" s="23" t="s">
        <v>54</v>
      </c>
      <c r="Q72">
        <v>0</v>
      </c>
      <c r="R72">
        <v>0</v>
      </c>
      <c r="S72">
        <f t="shared" si="3"/>
        <v>47</v>
      </c>
      <c r="T72">
        <f t="shared" si="4"/>
        <v>36</v>
      </c>
      <c r="U72" s="4" t="str">
        <f t="shared" si="5"/>
        <v>47-36</v>
      </c>
    </row>
    <row r="73" spans="1:30" x14ac:dyDescent="0.25">
      <c r="A73" s="4">
        <v>18</v>
      </c>
      <c r="B73" s="4" t="s">
        <v>67</v>
      </c>
      <c r="C73" s="5">
        <v>46067</v>
      </c>
      <c r="D73" s="6">
        <v>0.77083333333333304</v>
      </c>
      <c r="E73" t="s">
        <v>63</v>
      </c>
      <c r="F73" s="12">
        <v>3</v>
      </c>
      <c r="G73">
        <v>1</v>
      </c>
      <c r="H73" s="23" t="s">
        <v>48</v>
      </c>
      <c r="I73" s="23" t="s">
        <v>75</v>
      </c>
      <c r="J73" s="23" t="s">
        <v>22</v>
      </c>
      <c r="K73" s="23" t="s">
        <v>45</v>
      </c>
      <c r="L73" s="23" t="s">
        <v>57</v>
      </c>
      <c r="M73" s="23" t="s">
        <v>79</v>
      </c>
      <c r="N73" s="23" t="s">
        <v>62</v>
      </c>
      <c r="O73" s="23" t="s">
        <v>46</v>
      </c>
      <c r="P73" s="23" t="s">
        <v>76</v>
      </c>
      <c r="Q73">
        <v>3</v>
      </c>
      <c r="R73">
        <v>0</v>
      </c>
      <c r="S73">
        <f t="shared" si="3"/>
        <v>50</v>
      </c>
      <c r="T73">
        <f t="shared" si="4"/>
        <v>36</v>
      </c>
      <c r="U73" s="4" t="str">
        <f t="shared" si="5"/>
        <v>50-36</v>
      </c>
      <c r="AB73" t="s">
        <v>77</v>
      </c>
      <c r="AC73" t="s">
        <v>23</v>
      </c>
      <c r="AD73">
        <v>0</v>
      </c>
    </row>
    <row r="74" spans="1:30" x14ac:dyDescent="0.25">
      <c r="A74" s="4">
        <v>18</v>
      </c>
      <c r="B74" s="4" t="s">
        <v>67</v>
      </c>
      <c r="C74" s="5">
        <v>46067</v>
      </c>
      <c r="D74" s="6">
        <v>0.77083333333333304</v>
      </c>
      <c r="E74" t="s">
        <v>63</v>
      </c>
      <c r="F74" s="12">
        <v>3</v>
      </c>
      <c r="G74">
        <v>1</v>
      </c>
      <c r="H74" s="23" t="s">
        <v>48</v>
      </c>
      <c r="I74" s="23" t="s">
        <v>75</v>
      </c>
      <c r="J74" s="23" t="s">
        <v>22</v>
      </c>
      <c r="K74" s="23" t="s">
        <v>45</v>
      </c>
      <c r="L74" s="23" t="s">
        <v>57</v>
      </c>
      <c r="M74" s="23" t="s">
        <v>77</v>
      </c>
      <c r="N74" s="23" t="s">
        <v>55</v>
      </c>
      <c r="P74" s="23" t="s">
        <v>58</v>
      </c>
      <c r="Q74">
        <v>0</v>
      </c>
      <c r="R74">
        <v>0</v>
      </c>
      <c r="S74">
        <f t="shared" si="3"/>
        <v>50</v>
      </c>
      <c r="T74">
        <f t="shared" si="4"/>
        <v>36</v>
      </c>
      <c r="U74" s="4" t="str">
        <f t="shared" si="5"/>
        <v>50-36</v>
      </c>
      <c r="AB74" t="s">
        <v>77</v>
      </c>
      <c r="AC74" t="s">
        <v>34</v>
      </c>
      <c r="AD74">
        <v>0</v>
      </c>
    </row>
    <row r="75" spans="1:30" x14ac:dyDescent="0.25">
      <c r="A75" s="4">
        <v>18</v>
      </c>
      <c r="B75" s="4" t="s">
        <v>67</v>
      </c>
      <c r="C75" s="5">
        <v>46067</v>
      </c>
      <c r="D75" s="6">
        <v>0.77083333333333304</v>
      </c>
      <c r="E75" t="s">
        <v>63</v>
      </c>
      <c r="F75" s="12">
        <v>3</v>
      </c>
      <c r="G75">
        <v>0</v>
      </c>
      <c r="H75" s="23" t="s">
        <v>48</v>
      </c>
      <c r="I75" s="23" t="s">
        <v>22</v>
      </c>
      <c r="J75" s="23" t="s">
        <v>53</v>
      </c>
      <c r="K75" s="23" t="s">
        <v>45</v>
      </c>
      <c r="L75" s="23" t="s">
        <v>57</v>
      </c>
      <c r="M75" s="23" t="s">
        <v>66</v>
      </c>
      <c r="N75" s="23" t="s">
        <v>32</v>
      </c>
      <c r="P75" s="23" t="s">
        <v>56</v>
      </c>
      <c r="Q75">
        <v>0</v>
      </c>
      <c r="R75">
        <v>0</v>
      </c>
      <c r="S75">
        <f t="shared" si="3"/>
        <v>50</v>
      </c>
      <c r="T75">
        <f t="shared" si="4"/>
        <v>36</v>
      </c>
      <c r="U75" s="4" t="str">
        <f t="shared" si="5"/>
        <v>50-36</v>
      </c>
    </row>
    <row r="76" spans="1:30" x14ac:dyDescent="0.25">
      <c r="A76" s="4">
        <v>18</v>
      </c>
      <c r="B76" s="4" t="s">
        <v>67</v>
      </c>
      <c r="C76" s="5">
        <v>46067</v>
      </c>
      <c r="D76" s="6">
        <v>0.77083333333333304</v>
      </c>
      <c r="E76" t="s">
        <v>63</v>
      </c>
      <c r="F76" s="12">
        <v>3</v>
      </c>
      <c r="G76">
        <v>0</v>
      </c>
      <c r="H76" s="23" t="s">
        <v>48</v>
      </c>
      <c r="I76" s="23" t="s">
        <v>42</v>
      </c>
      <c r="J76" s="23" t="s">
        <v>53</v>
      </c>
      <c r="K76" s="23" t="s">
        <v>45</v>
      </c>
      <c r="L76" s="23" t="s">
        <v>57</v>
      </c>
      <c r="M76" s="23" t="s">
        <v>54</v>
      </c>
      <c r="N76" s="23" t="s">
        <v>55</v>
      </c>
      <c r="P76" s="23" t="s">
        <v>56</v>
      </c>
      <c r="Q76">
        <v>0</v>
      </c>
      <c r="R76">
        <v>0</v>
      </c>
      <c r="S76">
        <f t="shared" si="3"/>
        <v>50</v>
      </c>
      <c r="T76">
        <f t="shared" si="4"/>
        <v>36</v>
      </c>
      <c r="U76" s="4" t="str">
        <f t="shared" si="5"/>
        <v>50-36</v>
      </c>
      <c r="V76">
        <v>1</v>
      </c>
      <c r="Z76">
        <v>1</v>
      </c>
      <c r="AB76" t="s">
        <v>77</v>
      </c>
      <c r="AC76" t="s">
        <v>23</v>
      </c>
    </row>
    <row r="77" spans="1:30" x14ac:dyDescent="0.25">
      <c r="A77" s="4">
        <v>18</v>
      </c>
      <c r="B77" s="4" t="s">
        <v>67</v>
      </c>
      <c r="C77" s="5">
        <v>46067</v>
      </c>
      <c r="D77" s="6">
        <v>0.77083333333333304</v>
      </c>
      <c r="E77" t="s">
        <v>63</v>
      </c>
      <c r="F77" s="12">
        <v>3</v>
      </c>
      <c r="G77">
        <v>1</v>
      </c>
      <c r="H77" s="23" t="s">
        <v>48</v>
      </c>
      <c r="I77" s="23" t="s">
        <v>42</v>
      </c>
      <c r="J77" s="23" t="s">
        <v>53</v>
      </c>
      <c r="K77" s="23" t="s">
        <v>45</v>
      </c>
      <c r="L77" s="23" t="s">
        <v>57</v>
      </c>
      <c r="M77" s="23" t="s">
        <v>50</v>
      </c>
      <c r="N77" s="23" t="s">
        <v>72</v>
      </c>
      <c r="O77" s="23"/>
      <c r="P77" s="23" t="s">
        <v>51</v>
      </c>
      <c r="Q77">
        <v>1</v>
      </c>
      <c r="R77">
        <v>0</v>
      </c>
      <c r="S77">
        <f t="shared" si="3"/>
        <v>51</v>
      </c>
      <c r="T77">
        <f t="shared" si="4"/>
        <v>36</v>
      </c>
      <c r="U77" s="4" t="str">
        <f t="shared" si="5"/>
        <v>51-36</v>
      </c>
      <c r="V77">
        <v>1</v>
      </c>
      <c r="Z77">
        <v>2</v>
      </c>
    </row>
    <row r="78" spans="1:30" s="12" customFormat="1" x14ac:dyDescent="0.25">
      <c r="A78" s="12">
        <v>18</v>
      </c>
      <c r="B78" s="12" t="s">
        <v>67</v>
      </c>
      <c r="C78" s="12">
        <v>46067</v>
      </c>
      <c r="D78" s="12">
        <v>0.77083333333333304</v>
      </c>
      <c r="E78" s="12" t="s">
        <v>63</v>
      </c>
      <c r="F78" s="12">
        <v>3</v>
      </c>
      <c r="G78" s="12">
        <v>0</v>
      </c>
      <c r="H78" s="12" t="s">
        <v>48</v>
      </c>
      <c r="I78" s="12" t="s">
        <v>42</v>
      </c>
      <c r="J78" s="12" t="s">
        <v>53</v>
      </c>
      <c r="K78" s="12" t="s">
        <v>45</v>
      </c>
      <c r="L78" s="12" t="s">
        <v>57</v>
      </c>
      <c r="M78" s="12" t="s">
        <v>50</v>
      </c>
      <c r="N78" s="12" t="s">
        <v>30</v>
      </c>
      <c r="P78" s="12" t="s">
        <v>56</v>
      </c>
      <c r="Q78" s="12">
        <v>2</v>
      </c>
      <c r="R78" s="12">
        <v>0</v>
      </c>
      <c r="S78" s="12">
        <f t="shared" si="3"/>
        <v>53</v>
      </c>
      <c r="T78" s="12">
        <f t="shared" si="4"/>
        <v>36</v>
      </c>
      <c r="U78" s="12" t="str">
        <f t="shared" si="5"/>
        <v>53-36</v>
      </c>
    </row>
    <row r="79" spans="1:30" x14ac:dyDescent="0.25">
      <c r="A79" s="4">
        <v>18</v>
      </c>
      <c r="B79" s="4" t="s">
        <v>67</v>
      </c>
      <c r="C79" s="5">
        <v>46067</v>
      </c>
      <c r="D79" s="6">
        <v>0.77083333333333304</v>
      </c>
      <c r="E79" t="s">
        <v>63</v>
      </c>
      <c r="F79" s="13">
        <v>4</v>
      </c>
      <c r="G79">
        <v>9</v>
      </c>
      <c r="H79" s="23" t="s">
        <v>48</v>
      </c>
      <c r="I79" s="23" t="s">
        <v>42</v>
      </c>
      <c r="J79" s="23" t="s">
        <v>53</v>
      </c>
      <c r="K79" s="23" t="s">
        <v>45</v>
      </c>
      <c r="L79" s="23" t="s">
        <v>57</v>
      </c>
      <c r="M79" s="23" t="s">
        <v>69</v>
      </c>
      <c r="N79" s="23" t="s">
        <v>23</v>
      </c>
      <c r="P79" s="23" t="s">
        <v>44</v>
      </c>
      <c r="Q79">
        <v>0</v>
      </c>
      <c r="R79">
        <v>0</v>
      </c>
      <c r="S79">
        <f t="shared" ref="S79:S100" si="9">S78+Q79</f>
        <v>53</v>
      </c>
      <c r="T79">
        <f t="shared" ref="T79:T100" si="10">T78+R79</f>
        <v>36</v>
      </c>
      <c r="U79" s="4" t="str">
        <f t="shared" ref="U79:U102" si="11">S79&amp;"-"&amp;T79</f>
        <v>53-36</v>
      </c>
      <c r="AB79" t="s">
        <v>86</v>
      </c>
      <c r="AC79" t="s">
        <v>23</v>
      </c>
    </row>
    <row r="80" spans="1:30" x14ac:dyDescent="0.25">
      <c r="A80" s="4">
        <v>18</v>
      </c>
      <c r="B80" s="4" t="s">
        <v>67</v>
      </c>
      <c r="C80" s="5">
        <v>46067</v>
      </c>
      <c r="D80" s="6">
        <v>0.77083333333333304</v>
      </c>
      <c r="E80" t="s">
        <v>63</v>
      </c>
      <c r="F80" s="13">
        <v>4</v>
      </c>
      <c r="G80">
        <v>9</v>
      </c>
      <c r="H80" s="23" t="s">
        <v>48</v>
      </c>
      <c r="I80" s="23" t="s">
        <v>42</v>
      </c>
      <c r="J80" s="23" t="s">
        <v>53</v>
      </c>
      <c r="K80" s="23" t="s">
        <v>45</v>
      </c>
      <c r="L80" s="23" t="s">
        <v>57</v>
      </c>
      <c r="M80" s="23" t="s">
        <v>70</v>
      </c>
      <c r="N80" s="23" t="s">
        <v>55</v>
      </c>
      <c r="P80" s="23" t="s">
        <v>56</v>
      </c>
      <c r="Q80">
        <v>0</v>
      </c>
      <c r="R80">
        <v>0</v>
      </c>
      <c r="S80">
        <f t="shared" si="9"/>
        <v>53</v>
      </c>
      <c r="T80">
        <f t="shared" si="10"/>
        <v>36</v>
      </c>
      <c r="U80" s="4" t="str">
        <f t="shared" si="11"/>
        <v>53-36</v>
      </c>
      <c r="AB80" t="s">
        <v>86</v>
      </c>
      <c r="AC80" t="s">
        <v>55</v>
      </c>
    </row>
    <row r="81" spans="1:30" x14ac:dyDescent="0.25">
      <c r="A81" s="4">
        <v>18</v>
      </c>
      <c r="B81" s="4" t="s">
        <v>67</v>
      </c>
      <c r="C81" s="5">
        <v>46067</v>
      </c>
      <c r="D81" s="6">
        <v>0.77083333333333304</v>
      </c>
      <c r="E81" t="s">
        <v>63</v>
      </c>
      <c r="F81" s="13">
        <v>4</v>
      </c>
      <c r="G81">
        <v>8</v>
      </c>
      <c r="H81" s="23" t="s">
        <v>48</v>
      </c>
      <c r="I81" s="23" t="s">
        <v>42</v>
      </c>
      <c r="J81" s="23" t="s">
        <v>53</v>
      </c>
      <c r="K81" s="23" t="s">
        <v>45</v>
      </c>
      <c r="L81" s="23" t="s">
        <v>57</v>
      </c>
      <c r="M81" s="23" t="s">
        <v>50</v>
      </c>
      <c r="N81" s="23" t="s">
        <v>30</v>
      </c>
      <c r="P81" s="23" t="s">
        <v>56</v>
      </c>
      <c r="Q81">
        <v>2</v>
      </c>
      <c r="R81">
        <v>0</v>
      </c>
      <c r="S81">
        <f t="shared" si="9"/>
        <v>55</v>
      </c>
      <c r="T81">
        <f t="shared" si="10"/>
        <v>36</v>
      </c>
      <c r="U81" s="4" t="str">
        <f t="shared" si="11"/>
        <v>55-36</v>
      </c>
      <c r="V81">
        <v>1</v>
      </c>
      <c r="Z81">
        <v>2</v>
      </c>
    </row>
    <row r="82" spans="1:30" s="23" customFormat="1" x14ac:dyDescent="0.25">
      <c r="A82" s="41">
        <v>18</v>
      </c>
      <c r="B82" s="41" t="s">
        <v>67</v>
      </c>
      <c r="C82" s="42">
        <v>46067</v>
      </c>
      <c r="D82" s="40">
        <v>0.77083333333333304</v>
      </c>
      <c r="E82" s="23" t="s">
        <v>63</v>
      </c>
      <c r="F82" s="24">
        <v>4</v>
      </c>
      <c r="G82" s="23">
        <v>8</v>
      </c>
      <c r="H82" s="23" t="s">
        <v>48</v>
      </c>
      <c r="I82" s="23" t="s">
        <v>42</v>
      </c>
      <c r="J82" s="23" t="s">
        <v>53</v>
      </c>
      <c r="K82" s="23" t="s">
        <v>45</v>
      </c>
      <c r="L82" s="23" t="s">
        <v>57</v>
      </c>
      <c r="M82" s="23" t="s">
        <v>41</v>
      </c>
      <c r="N82" s="23" t="s">
        <v>55</v>
      </c>
      <c r="P82" s="23" t="s">
        <v>44</v>
      </c>
      <c r="Q82" s="23">
        <v>0</v>
      </c>
      <c r="R82" s="23">
        <v>0</v>
      </c>
      <c r="S82" s="23">
        <f t="shared" si="9"/>
        <v>55</v>
      </c>
      <c r="T82" s="23">
        <f t="shared" si="10"/>
        <v>36</v>
      </c>
      <c r="U82" s="41" t="str">
        <f t="shared" si="11"/>
        <v>55-36</v>
      </c>
      <c r="AB82" t="s">
        <v>86</v>
      </c>
      <c r="AC82" s="23" t="s">
        <v>23</v>
      </c>
    </row>
    <row r="83" spans="1:30" x14ac:dyDescent="0.25">
      <c r="A83" s="4">
        <v>18</v>
      </c>
      <c r="B83" s="4" t="s">
        <v>67</v>
      </c>
      <c r="C83" s="5">
        <v>46067</v>
      </c>
      <c r="D83" s="6">
        <v>0.77083333333333304</v>
      </c>
      <c r="E83" t="s">
        <v>63</v>
      </c>
      <c r="F83" s="13">
        <v>4</v>
      </c>
      <c r="G83">
        <v>7</v>
      </c>
      <c r="H83" s="23" t="s">
        <v>48</v>
      </c>
      <c r="I83" s="23" t="s">
        <v>42</v>
      </c>
      <c r="J83" s="23" t="s">
        <v>53</v>
      </c>
      <c r="K83" s="23" t="s">
        <v>45</v>
      </c>
      <c r="L83" s="23" t="s">
        <v>57</v>
      </c>
      <c r="M83" s="23" t="s">
        <v>82</v>
      </c>
      <c r="N83" s="23" t="s">
        <v>23</v>
      </c>
      <c r="P83" s="23" t="s">
        <v>51</v>
      </c>
      <c r="Q83">
        <v>0</v>
      </c>
      <c r="R83">
        <v>2</v>
      </c>
      <c r="S83">
        <f t="shared" si="9"/>
        <v>55</v>
      </c>
      <c r="T83">
        <f t="shared" si="10"/>
        <v>38</v>
      </c>
      <c r="U83" s="4" t="str">
        <f t="shared" si="11"/>
        <v>55-38</v>
      </c>
      <c r="X83">
        <v>1</v>
      </c>
      <c r="AA83">
        <v>2</v>
      </c>
      <c r="AB83" t="s">
        <v>86</v>
      </c>
      <c r="AC83" t="s">
        <v>23</v>
      </c>
    </row>
    <row r="84" spans="1:30" x14ac:dyDescent="0.25">
      <c r="A84" s="4">
        <v>18</v>
      </c>
      <c r="B84" s="4" t="s">
        <v>67</v>
      </c>
      <c r="C84" s="5">
        <v>46067</v>
      </c>
      <c r="D84" s="6">
        <v>0.77083333333333304</v>
      </c>
      <c r="E84" t="s">
        <v>63</v>
      </c>
      <c r="F84" s="13">
        <v>4</v>
      </c>
      <c r="G84" s="20">
        <v>7</v>
      </c>
      <c r="H84" s="23" t="s">
        <v>48</v>
      </c>
      <c r="I84" s="23" t="s">
        <v>42</v>
      </c>
      <c r="J84" s="23" t="s">
        <v>53</v>
      </c>
      <c r="K84" s="23" t="s">
        <v>45</v>
      </c>
      <c r="L84" s="23" t="s">
        <v>57</v>
      </c>
      <c r="M84" s="23" t="s">
        <v>50</v>
      </c>
      <c r="N84" s="23" t="s">
        <v>23</v>
      </c>
      <c r="P84" s="23" t="s">
        <v>56</v>
      </c>
      <c r="Q84">
        <v>0</v>
      </c>
      <c r="R84">
        <v>0</v>
      </c>
      <c r="S84">
        <f t="shared" si="9"/>
        <v>55</v>
      </c>
      <c r="T84">
        <f t="shared" si="10"/>
        <v>38</v>
      </c>
      <c r="U84" s="4" t="str">
        <f t="shared" si="11"/>
        <v>55-38</v>
      </c>
      <c r="V84">
        <v>1</v>
      </c>
    </row>
    <row r="85" spans="1:30" x14ac:dyDescent="0.25">
      <c r="A85" s="4">
        <v>18</v>
      </c>
      <c r="B85" s="4" t="s">
        <v>67</v>
      </c>
      <c r="C85" s="5">
        <v>46067</v>
      </c>
      <c r="D85" s="6">
        <v>0.77083333333333304</v>
      </c>
      <c r="E85" t="s">
        <v>63</v>
      </c>
      <c r="F85" s="13">
        <v>4</v>
      </c>
      <c r="G85">
        <v>7</v>
      </c>
      <c r="H85" s="23" t="s">
        <v>48</v>
      </c>
      <c r="I85" s="23" t="s">
        <v>42</v>
      </c>
      <c r="J85" s="23" t="s">
        <v>53</v>
      </c>
      <c r="K85" s="23" t="s">
        <v>45</v>
      </c>
      <c r="L85" s="23" t="s">
        <v>57</v>
      </c>
      <c r="M85" s="23" t="s">
        <v>83</v>
      </c>
      <c r="N85" s="6" t="s">
        <v>32</v>
      </c>
      <c r="P85" s="23" t="s">
        <v>51</v>
      </c>
      <c r="Q85">
        <v>0</v>
      </c>
      <c r="R85">
        <v>0</v>
      </c>
      <c r="S85">
        <f t="shared" si="9"/>
        <v>55</v>
      </c>
      <c r="T85">
        <f t="shared" si="10"/>
        <v>38</v>
      </c>
      <c r="U85" s="4" t="str">
        <f t="shared" si="11"/>
        <v>55-38</v>
      </c>
      <c r="V85">
        <v>1</v>
      </c>
    </row>
    <row r="86" spans="1:30" s="23" customFormat="1" x14ac:dyDescent="0.25">
      <c r="A86" s="4">
        <v>18</v>
      </c>
      <c r="B86" s="4" t="s">
        <v>67</v>
      </c>
      <c r="C86" s="5">
        <v>46067</v>
      </c>
      <c r="D86" s="6">
        <v>0.77083333333333304</v>
      </c>
      <c r="E86" t="s">
        <v>63</v>
      </c>
      <c r="F86" s="24">
        <v>4</v>
      </c>
      <c r="G86" s="23">
        <v>6</v>
      </c>
      <c r="H86" s="23" t="s">
        <v>48</v>
      </c>
      <c r="I86" s="23" t="s">
        <v>42</v>
      </c>
      <c r="J86" s="23" t="s">
        <v>53</v>
      </c>
      <c r="K86" s="23" t="s">
        <v>45</v>
      </c>
      <c r="L86" s="23" t="s">
        <v>57</v>
      </c>
      <c r="M86" s="23" t="s">
        <v>54</v>
      </c>
      <c r="N86" s="23" t="s">
        <v>55</v>
      </c>
      <c r="P86" s="23" t="s">
        <v>44</v>
      </c>
      <c r="Q86" s="23">
        <v>0</v>
      </c>
      <c r="R86" s="23">
        <v>2</v>
      </c>
      <c r="S86">
        <f t="shared" si="9"/>
        <v>55</v>
      </c>
      <c r="T86">
        <f t="shared" si="10"/>
        <v>40</v>
      </c>
      <c r="U86" s="4" t="str">
        <f t="shared" si="11"/>
        <v>55-40</v>
      </c>
      <c r="AB86" t="s">
        <v>86</v>
      </c>
      <c r="AC86" s="23" t="s">
        <v>23</v>
      </c>
    </row>
    <row r="87" spans="1:30" s="9" customFormat="1" x14ac:dyDescent="0.25">
      <c r="A87" s="10">
        <v>18</v>
      </c>
      <c r="B87" s="10" t="s">
        <v>67</v>
      </c>
      <c r="C87" s="26">
        <v>46067</v>
      </c>
      <c r="D87" s="27">
        <v>0.77083333333333304</v>
      </c>
      <c r="E87" s="9" t="s">
        <v>63</v>
      </c>
      <c r="F87" s="14">
        <v>4</v>
      </c>
      <c r="G87" s="9">
        <v>6</v>
      </c>
      <c r="H87" s="9" t="s">
        <v>48</v>
      </c>
      <c r="I87" s="9" t="s">
        <v>42</v>
      </c>
      <c r="J87" s="9" t="s">
        <v>53</v>
      </c>
      <c r="K87" s="9" t="s">
        <v>45</v>
      </c>
      <c r="L87" s="9" t="s">
        <v>57</v>
      </c>
      <c r="M87" s="9" t="s">
        <v>69</v>
      </c>
      <c r="N87" s="9" t="s">
        <v>23</v>
      </c>
      <c r="P87" s="9" t="s">
        <v>58</v>
      </c>
      <c r="Q87" s="9">
        <v>0</v>
      </c>
      <c r="R87" s="9">
        <v>2</v>
      </c>
      <c r="S87" s="9">
        <f t="shared" si="9"/>
        <v>55</v>
      </c>
      <c r="T87" s="9">
        <f t="shared" si="10"/>
        <v>42</v>
      </c>
      <c r="U87" s="10" t="str">
        <f t="shared" si="11"/>
        <v>55-42</v>
      </c>
      <c r="AB87" t="s">
        <v>86</v>
      </c>
      <c r="AC87" s="9" t="s">
        <v>30</v>
      </c>
      <c r="AD87" s="9">
        <v>2</v>
      </c>
    </row>
    <row r="88" spans="1:30" x14ac:dyDescent="0.25">
      <c r="A88" s="4">
        <v>18</v>
      </c>
      <c r="B88" s="4" t="s">
        <v>67</v>
      </c>
      <c r="C88" s="5">
        <v>46067</v>
      </c>
      <c r="D88" s="6">
        <v>0.77083333333333304</v>
      </c>
      <c r="E88" t="s">
        <v>63</v>
      </c>
      <c r="F88" s="13">
        <v>4</v>
      </c>
      <c r="G88">
        <v>6</v>
      </c>
      <c r="H88" s="23" t="s">
        <v>21</v>
      </c>
      <c r="I88" s="23" t="s">
        <v>75</v>
      </c>
      <c r="J88" s="23" t="s">
        <v>22</v>
      </c>
      <c r="K88" s="23" t="s">
        <v>39</v>
      </c>
      <c r="L88" s="23" t="s">
        <v>24</v>
      </c>
      <c r="M88" s="23" t="s">
        <v>52</v>
      </c>
      <c r="N88" s="23" t="s">
        <v>23</v>
      </c>
      <c r="P88" s="23" t="s">
        <v>76</v>
      </c>
      <c r="Q88">
        <v>0</v>
      </c>
      <c r="R88">
        <v>0</v>
      </c>
      <c r="S88">
        <f t="shared" si="9"/>
        <v>55</v>
      </c>
      <c r="T88">
        <f t="shared" si="10"/>
        <v>42</v>
      </c>
      <c r="U88" s="4" t="str">
        <f t="shared" si="11"/>
        <v>55-42</v>
      </c>
    </row>
    <row r="89" spans="1:30" x14ac:dyDescent="0.25">
      <c r="A89" s="4">
        <v>18</v>
      </c>
      <c r="B89" s="4" t="s">
        <v>67</v>
      </c>
      <c r="C89" s="5">
        <v>46067</v>
      </c>
      <c r="D89" s="6">
        <v>0.77083333333333304</v>
      </c>
      <c r="E89" t="s">
        <v>63</v>
      </c>
      <c r="F89" s="13">
        <v>4</v>
      </c>
      <c r="G89">
        <v>5</v>
      </c>
      <c r="H89" s="23" t="s">
        <v>21</v>
      </c>
      <c r="I89" s="23" t="s">
        <v>75</v>
      </c>
      <c r="J89" s="23" t="s">
        <v>22</v>
      </c>
      <c r="K89" s="23" t="s">
        <v>39</v>
      </c>
      <c r="L89" s="23" t="s">
        <v>24</v>
      </c>
      <c r="M89" s="23" t="s">
        <v>49</v>
      </c>
      <c r="N89" s="23" t="s">
        <v>62</v>
      </c>
      <c r="O89" s="23" t="s">
        <v>46</v>
      </c>
      <c r="P89" s="23" t="s">
        <v>76</v>
      </c>
      <c r="Q89">
        <v>3</v>
      </c>
      <c r="R89">
        <v>0</v>
      </c>
      <c r="S89">
        <f t="shared" si="9"/>
        <v>58</v>
      </c>
      <c r="T89">
        <f t="shared" si="10"/>
        <v>42</v>
      </c>
      <c r="U89" s="4" t="str">
        <f t="shared" si="11"/>
        <v>58-42</v>
      </c>
      <c r="AB89" t="s">
        <v>71</v>
      </c>
      <c r="AC89" t="s">
        <v>55</v>
      </c>
    </row>
    <row r="90" spans="1:30" x14ac:dyDescent="0.25">
      <c r="A90" s="4">
        <v>18</v>
      </c>
      <c r="B90" s="4" t="s">
        <v>67</v>
      </c>
      <c r="C90" s="5">
        <v>46067</v>
      </c>
      <c r="D90" s="6">
        <v>0.77083333333333304</v>
      </c>
      <c r="E90" t="s">
        <v>63</v>
      </c>
      <c r="F90" s="13">
        <v>4</v>
      </c>
      <c r="G90">
        <v>5</v>
      </c>
      <c r="H90" s="23" t="s">
        <v>21</v>
      </c>
      <c r="I90" s="23" t="s">
        <v>75</v>
      </c>
      <c r="J90" s="23" t="s">
        <v>22</v>
      </c>
      <c r="K90" s="23" t="s">
        <v>39</v>
      </c>
      <c r="L90" s="23" t="s">
        <v>24</v>
      </c>
      <c r="M90" s="23" t="s">
        <v>82</v>
      </c>
      <c r="N90" s="23" t="s">
        <v>72</v>
      </c>
      <c r="P90" s="23" t="s">
        <v>76</v>
      </c>
      <c r="Q90">
        <v>1</v>
      </c>
      <c r="R90">
        <v>0</v>
      </c>
      <c r="S90">
        <f t="shared" si="9"/>
        <v>59</v>
      </c>
      <c r="T90">
        <f t="shared" si="10"/>
        <v>42</v>
      </c>
      <c r="U90" s="4" t="str">
        <f t="shared" si="11"/>
        <v>59-42</v>
      </c>
      <c r="V90">
        <v>1</v>
      </c>
      <c r="X90">
        <v>1</v>
      </c>
      <c r="Z90">
        <v>3</v>
      </c>
      <c r="AB90" t="s">
        <v>77</v>
      </c>
      <c r="AC90" t="s">
        <v>32</v>
      </c>
    </row>
    <row r="91" spans="1:30" x14ac:dyDescent="0.25">
      <c r="A91" s="4">
        <v>18</v>
      </c>
      <c r="B91" s="4" t="s">
        <v>67</v>
      </c>
      <c r="C91" s="5">
        <v>46067</v>
      </c>
      <c r="D91" s="6">
        <v>0.77083333333333304</v>
      </c>
      <c r="E91" t="s">
        <v>63</v>
      </c>
      <c r="F91" s="13">
        <v>4</v>
      </c>
      <c r="G91">
        <v>4</v>
      </c>
      <c r="H91" s="23" t="s">
        <v>21</v>
      </c>
      <c r="I91" s="23" t="s">
        <v>75</v>
      </c>
      <c r="J91" s="23" t="s">
        <v>22</v>
      </c>
      <c r="K91" s="23" t="s">
        <v>39</v>
      </c>
      <c r="L91" s="23" t="s">
        <v>24</v>
      </c>
      <c r="M91" s="23" t="s">
        <v>52</v>
      </c>
      <c r="N91" s="23" t="s">
        <v>34</v>
      </c>
      <c r="P91" s="23" t="s">
        <v>40</v>
      </c>
      <c r="Q91">
        <v>0</v>
      </c>
      <c r="R91">
        <v>0</v>
      </c>
      <c r="S91">
        <f t="shared" si="9"/>
        <v>59</v>
      </c>
      <c r="T91">
        <f t="shared" si="10"/>
        <v>42</v>
      </c>
      <c r="U91" s="4" t="str">
        <f t="shared" si="11"/>
        <v>59-42</v>
      </c>
      <c r="AB91" t="s">
        <v>77</v>
      </c>
      <c r="AC91" s="9" t="s">
        <v>32</v>
      </c>
    </row>
    <row r="92" spans="1:30" x14ac:dyDescent="0.25">
      <c r="A92" s="4">
        <v>18</v>
      </c>
      <c r="B92" s="4" t="s">
        <v>67</v>
      </c>
      <c r="C92" s="5">
        <v>46067</v>
      </c>
      <c r="D92" s="6">
        <v>0.77083333333333304</v>
      </c>
      <c r="E92" t="s">
        <v>63</v>
      </c>
      <c r="F92" s="13">
        <v>4</v>
      </c>
      <c r="G92">
        <v>4</v>
      </c>
      <c r="H92" t="s">
        <v>21</v>
      </c>
      <c r="I92" t="s">
        <v>75</v>
      </c>
      <c r="J92" t="s">
        <v>22</v>
      </c>
      <c r="K92" t="s">
        <v>39</v>
      </c>
      <c r="L92" t="s">
        <v>24</v>
      </c>
      <c r="M92" t="s">
        <v>83</v>
      </c>
      <c r="N92" t="s">
        <v>34</v>
      </c>
      <c r="P92" t="s">
        <v>40</v>
      </c>
      <c r="Q92">
        <v>0</v>
      </c>
      <c r="R92">
        <v>0</v>
      </c>
      <c r="S92">
        <f t="shared" si="9"/>
        <v>59</v>
      </c>
      <c r="T92">
        <f t="shared" si="10"/>
        <v>42</v>
      </c>
      <c r="U92" s="4" t="str">
        <f t="shared" si="11"/>
        <v>59-42</v>
      </c>
      <c r="AB92" t="s">
        <v>77</v>
      </c>
      <c r="AC92" t="s">
        <v>55</v>
      </c>
    </row>
    <row r="93" spans="1:30" x14ac:dyDescent="0.25">
      <c r="A93" s="4">
        <v>18</v>
      </c>
      <c r="B93" s="4" t="s">
        <v>67</v>
      </c>
      <c r="C93" s="5">
        <v>46067</v>
      </c>
      <c r="D93" s="6">
        <v>0.77083333333333304</v>
      </c>
      <c r="E93" t="s">
        <v>63</v>
      </c>
      <c r="F93" s="13">
        <v>4</v>
      </c>
      <c r="G93">
        <v>4</v>
      </c>
      <c r="H93" s="23" t="s">
        <v>21</v>
      </c>
      <c r="I93" s="23" t="s">
        <v>75</v>
      </c>
      <c r="J93" s="23" t="s">
        <v>22</v>
      </c>
      <c r="K93" s="23" t="s">
        <v>39</v>
      </c>
      <c r="L93" s="23" t="s">
        <v>24</v>
      </c>
      <c r="M93" s="23" t="s">
        <v>54</v>
      </c>
      <c r="N93" s="23" t="s">
        <v>32</v>
      </c>
      <c r="P93" s="23" t="s">
        <v>33</v>
      </c>
      <c r="Q93">
        <v>0</v>
      </c>
      <c r="R93">
        <v>0</v>
      </c>
      <c r="S93">
        <f t="shared" si="9"/>
        <v>59</v>
      </c>
      <c r="T93">
        <f t="shared" si="10"/>
        <v>42</v>
      </c>
      <c r="U93" s="4" t="str">
        <f t="shared" si="11"/>
        <v>59-42</v>
      </c>
      <c r="X93">
        <v>1</v>
      </c>
      <c r="AB93" t="s">
        <v>77</v>
      </c>
      <c r="AC93" t="s">
        <v>32</v>
      </c>
    </row>
    <row r="94" spans="1:30" x14ac:dyDescent="0.25">
      <c r="A94" s="4">
        <v>18</v>
      </c>
      <c r="B94" s="4" t="s">
        <v>67</v>
      </c>
      <c r="C94" s="5">
        <v>46067</v>
      </c>
      <c r="D94" s="6">
        <v>0.77083333333333304</v>
      </c>
      <c r="E94" t="s">
        <v>63</v>
      </c>
      <c r="F94" s="13">
        <v>4</v>
      </c>
      <c r="G94">
        <v>3</v>
      </c>
      <c r="H94" s="23" t="s">
        <v>21</v>
      </c>
      <c r="I94" s="23" t="s">
        <v>75</v>
      </c>
      <c r="J94" s="23" t="s">
        <v>22</v>
      </c>
      <c r="K94" s="23" t="s">
        <v>39</v>
      </c>
      <c r="L94" s="23" t="s">
        <v>24</v>
      </c>
      <c r="M94" s="23" t="s">
        <v>41</v>
      </c>
      <c r="N94" s="23" t="s">
        <v>23</v>
      </c>
      <c r="P94" s="23" t="s">
        <v>40</v>
      </c>
      <c r="Q94">
        <v>0</v>
      </c>
      <c r="R94">
        <v>3</v>
      </c>
      <c r="S94">
        <f t="shared" si="9"/>
        <v>59</v>
      </c>
      <c r="T94">
        <f t="shared" si="10"/>
        <v>45</v>
      </c>
      <c r="U94" s="4" t="str">
        <f t="shared" si="11"/>
        <v>59-45</v>
      </c>
      <c r="AB94" t="s">
        <v>77</v>
      </c>
      <c r="AC94" s="25" t="s">
        <v>62</v>
      </c>
      <c r="AD94" s="25">
        <v>3</v>
      </c>
    </row>
    <row r="95" spans="1:30" s="9" customFormat="1" x14ac:dyDescent="0.25">
      <c r="A95" s="10">
        <v>18</v>
      </c>
      <c r="B95" s="10" t="s">
        <v>67</v>
      </c>
      <c r="C95" s="26">
        <v>46067</v>
      </c>
      <c r="D95" s="27">
        <v>0.77083333333333304</v>
      </c>
      <c r="E95" s="9" t="s">
        <v>63</v>
      </c>
      <c r="F95" s="14">
        <v>4</v>
      </c>
      <c r="G95" s="9">
        <v>3</v>
      </c>
      <c r="H95" s="9" t="s">
        <v>21</v>
      </c>
      <c r="I95" s="9" t="s">
        <v>75</v>
      </c>
      <c r="J95" s="9" t="s">
        <v>22</v>
      </c>
      <c r="K95" s="9" t="s">
        <v>39</v>
      </c>
      <c r="L95" s="9" t="s">
        <v>24</v>
      </c>
      <c r="M95" s="9" t="s">
        <v>43</v>
      </c>
      <c r="N95" s="9" t="s">
        <v>32</v>
      </c>
      <c r="P95" s="9" t="s">
        <v>46</v>
      </c>
      <c r="Q95" s="9">
        <v>0</v>
      </c>
      <c r="R95" s="9">
        <v>3</v>
      </c>
      <c r="S95" s="9">
        <f t="shared" si="9"/>
        <v>59</v>
      </c>
      <c r="T95" s="9">
        <f t="shared" si="10"/>
        <v>48</v>
      </c>
      <c r="U95" s="10" t="str">
        <f t="shared" si="11"/>
        <v>59-48</v>
      </c>
      <c r="AB95" t="s">
        <v>77</v>
      </c>
      <c r="AC95" s="9" t="s">
        <v>62</v>
      </c>
      <c r="AD95" s="9">
        <v>3</v>
      </c>
    </row>
    <row r="96" spans="1:30" x14ac:dyDescent="0.25">
      <c r="A96" s="4">
        <v>18</v>
      </c>
      <c r="B96" s="4" t="s">
        <v>67</v>
      </c>
      <c r="C96" s="5">
        <v>46067</v>
      </c>
      <c r="D96" s="6">
        <v>0.77083333333333304</v>
      </c>
      <c r="E96" t="s">
        <v>63</v>
      </c>
      <c r="F96" s="13">
        <v>4</v>
      </c>
      <c r="G96">
        <v>2</v>
      </c>
      <c r="H96" s="23" t="s">
        <v>21</v>
      </c>
      <c r="I96" s="23" t="s">
        <v>42</v>
      </c>
      <c r="J96" s="23" t="s">
        <v>22</v>
      </c>
      <c r="K96" s="23" t="s">
        <v>45</v>
      </c>
      <c r="L96" s="23" t="s">
        <v>24</v>
      </c>
      <c r="M96" s="23" t="s">
        <v>52</v>
      </c>
      <c r="N96" s="23" t="s">
        <v>30</v>
      </c>
      <c r="P96" s="23" t="s">
        <v>46</v>
      </c>
      <c r="Q96">
        <v>2</v>
      </c>
      <c r="R96">
        <v>0</v>
      </c>
      <c r="S96">
        <f t="shared" si="9"/>
        <v>61</v>
      </c>
      <c r="T96">
        <f t="shared" si="10"/>
        <v>48</v>
      </c>
      <c r="U96" s="4" t="str">
        <f t="shared" si="11"/>
        <v>61-48</v>
      </c>
      <c r="AB96" t="s">
        <v>77</v>
      </c>
      <c r="AC96" t="s">
        <v>55</v>
      </c>
    </row>
    <row r="97" spans="1:30" s="23" customFormat="1" x14ac:dyDescent="0.25">
      <c r="A97" s="4">
        <v>18</v>
      </c>
      <c r="B97" s="4" t="s">
        <v>67</v>
      </c>
      <c r="C97" s="5">
        <v>46067</v>
      </c>
      <c r="D97" s="6">
        <v>0.77083333333333304</v>
      </c>
      <c r="E97" t="s">
        <v>63</v>
      </c>
      <c r="F97" s="24">
        <v>4</v>
      </c>
      <c r="G97" s="23">
        <v>2</v>
      </c>
      <c r="H97" s="23" t="s">
        <v>21</v>
      </c>
      <c r="I97" s="23" t="s">
        <v>42</v>
      </c>
      <c r="J97" s="23" t="s">
        <v>22</v>
      </c>
      <c r="K97" s="23" t="s">
        <v>45</v>
      </c>
      <c r="L97" s="23" t="s">
        <v>24</v>
      </c>
      <c r="M97" s="23" t="s">
        <v>52</v>
      </c>
      <c r="N97" s="23" t="s">
        <v>34</v>
      </c>
      <c r="P97" s="23" t="s">
        <v>46</v>
      </c>
      <c r="Q97" s="23">
        <v>0</v>
      </c>
      <c r="R97" s="23">
        <v>0</v>
      </c>
      <c r="S97">
        <f t="shared" si="9"/>
        <v>61</v>
      </c>
      <c r="T97">
        <f t="shared" si="10"/>
        <v>48</v>
      </c>
      <c r="U97" s="4" t="str">
        <f t="shared" si="11"/>
        <v>61-48</v>
      </c>
    </row>
    <row r="98" spans="1:30" s="9" customFormat="1" x14ac:dyDescent="0.25">
      <c r="A98" s="4">
        <v>18</v>
      </c>
      <c r="B98" s="4" t="s">
        <v>67</v>
      </c>
      <c r="C98" s="5">
        <v>46067</v>
      </c>
      <c r="D98" s="6">
        <v>0.77083333333333304</v>
      </c>
      <c r="E98" t="s">
        <v>63</v>
      </c>
      <c r="F98" s="24">
        <v>4</v>
      </c>
      <c r="G98" s="23">
        <v>2</v>
      </c>
      <c r="H98" s="23" t="s">
        <v>21</v>
      </c>
      <c r="I98" s="23" t="s">
        <v>42</v>
      </c>
      <c r="J98" s="23" t="s">
        <v>22</v>
      </c>
      <c r="K98" s="23" t="s">
        <v>45</v>
      </c>
      <c r="L98" s="23" t="s">
        <v>24</v>
      </c>
      <c r="M98" s="23" t="s">
        <v>49</v>
      </c>
      <c r="N98" s="23" t="s">
        <v>72</v>
      </c>
      <c r="P98" s="23" t="s">
        <v>60</v>
      </c>
      <c r="Q98" s="23">
        <v>2</v>
      </c>
      <c r="R98" s="23">
        <v>0</v>
      </c>
      <c r="S98">
        <f t="shared" si="9"/>
        <v>63</v>
      </c>
      <c r="T98">
        <f t="shared" si="10"/>
        <v>48</v>
      </c>
      <c r="U98" s="4" t="str">
        <f t="shared" si="11"/>
        <v>63-48</v>
      </c>
      <c r="AB98" t="s">
        <v>86</v>
      </c>
      <c r="AC98" s="9" t="s">
        <v>23</v>
      </c>
      <c r="AD98" s="9">
        <v>0</v>
      </c>
    </row>
    <row r="99" spans="1:30" s="9" customFormat="1" x14ac:dyDescent="0.25">
      <c r="A99" s="4">
        <v>18</v>
      </c>
      <c r="B99" s="4" t="s">
        <v>67</v>
      </c>
      <c r="C99" s="5">
        <v>46067</v>
      </c>
      <c r="D99" s="6">
        <v>0.77083333333333304</v>
      </c>
      <c r="E99" t="s">
        <v>63</v>
      </c>
      <c r="F99" s="14">
        <v>4</v>
      </c>
      <c r="G99" s="9">
        <v>1</v>
      </c>
      <c r="H99" s="23" t="s">
        <v>21</v>
      </c>
      <c r="I99" s="23" t="s">
        <v>42</v>
      </c>
      <c r="J99" s="23" t="s">
        <v>22</v>
      </c>
      <c r="K99" s="23" t="s">
        <v>45</v>
      </c>
      <c r="L99" s="23" t="s">
        <v>24</v>
      </c>
      <c r="M99" s="23" t="s">
        <v>43</v>
      </c>
      <c r="N99" s="23" t="s">
        <v>72</v>
      </c>
      <c r="O99" s="23"/>
      <c r="P99" s="23" t="s">
        <v>60</v>
      </c>
      <c r="Q99" s="23">
        <v>2</v>
      </c>
      <c r="R99" s="9">
        <v>1</v>
      </c>
      <c r="S99">
        <f t="shared" si="9"/>
        <v>65</v>
      </c>
      <c r="T99">
        <f t="shared" si="10"/>
        <v>49</v>
      </c>
      <c r="U99" s="4" t="str">
        <f t="shared" si="11"/>
        <v>65-49</v>
      </c>
      <c r="AB99" t="s">
        <v>86</v>
      </c>
      <c r="AC99" s="9" t="s">
        <v>34</v>
      </c>
      <c r="AD99" s="9">
        <v>1</v>
      </c>
    </row>
    <row r="100" spans="1:30" x14ac:dyDescent="0.25">
      <c r="A100" s="4">
        <v>18</v>
      </c>
      <c r="B100" s="4" t="s">
        <v>67</v>
      </c>
      <c r="C100" s="5">
        <v>46067</v>
      </c>
      <c r="D100" s="6">
        <v>0.77083333333333304</v>
      </c>
      <c r="E100" t="s">
        <v>63</v>
      </c>
      <c r="F100" s="13">
        <v>4</v>
      </c>
      <c r="G100">
        <v>1</v>
      </c>
      <c r="H100" t="s">
        <v>21</v>
      </c>
      <c r="I100" t="s">
        <v>42</v>
      </c>
      <c r="J100" t="s">
        <v>22</v>
      </c>
      <c r="K100" t="s">
        <v>45</v>
      </c>
      <c r="L100" t="s">
        <v>24</v>
      </c>
      <c r="M100" s="23" t="s">
        <v>52</v>
      </c>
      <c r="N100" s="23" t="s">
        <v>30</v>
      </c>
      <c r="P100" s="23" t="s">
        <v>44</v>
      </c>
      <c r="Q100" s="23">
        <v>2</v>
      </c>
      <c r="R100">
        <v>0</v>
      </c>
      <c r="S100">
        <f t="shared" si="9"/>
        <v>67</v>
      </c>
      <c r="T100">
        <f t="shared" si="10"/>
        <v>49</v>
      </c>
      <c r="U100" s="4" t="str">
        <f t="shared" si="11"/>
        <v>67-49</v>
      </c>
      <c r="AB100" t="s">
        <v>86</v>
      </c>
      <c r="AC100" s="9" t="s">
        <v>30</v>
      </c>
      <c r="AD100" s="9">
        <v>2</v>
      </c>
    </row>
    <row r="101" spans="1:30" x14ac:dyDescent="0.25">
      <c r="A101" s="4">
        <v>18</v>
      </c>
      <c r="B101" s="4" t="s">
        <v>67</v>
      </c>
      <c r="C101" s="5">
        <v>46067</v>
      </c>
      <c r="D101" s="6">
        <v>0.77083333333333304</v>
      </c>
      <c r="E101" t="s">
        <v>63</v>
      </c>
      <c r="F101" s="13">
        <v>4</v>
      </c>
      <c r="G101">
        <v>0</v>
      </c>
      <c r="H101" t="s">
        <v>21</v>
      </c>
      <c r="I101" t="s">
        <v>42</v>
      </c>
      <c r="J101" t="s">
        <v>22</v>
      </c>
      <c r="K101" t="s">
        <v>45</v>
      </c>
      <c r="L101" t="s">
        <v>24</v>
      </c>
      <c r="M101" s="23" t="s">
        <v>52</v>
      </c>
      <c r="N101" s="23" t="s">
        <v>34</v>
      </c>
      <c r="P101" s="23" t="s">
        <v>44</v>
      </c>
      <c r="Q101" s="23">
        <v>1</v>
      </c>
      <c r="R101">
        <v>0</v>
      </c>
      <c r="S101">
        <f t="shared" ref="S101" si="12">S100+Q101</f>
        <v>68</v>
      </c>
      <c r="T101">
        <f t="shared" ref="T101" si="13">T100+R101</f>
        <v>49</v>
      </c>
      <c r="U101" s="4" t="str">
        <f t="shared" ref="U101" si="14">S101&amp;"-"&amp;T101</f>
        <v>68-49</v>
      </c>
      <c r="AB101" t="s">
        <v>86</v>
      </c>
      <c r="AC101" s="9" t="s">
        <v>55</v>
      </c>
      <c r="AD101" s="9">
        <v>0</v>
      </c>
    </row>
    <row r="102" spans="1:30" s="13" customFormat="1" x14ac:dyDescent="0.25">
      <c r="A102" s="4">
        <v>18</v>
      </c>
      <c r="B102" s="4" t="s">
        <v>67</v>
      </c>
      <c r="C102" s="5">
        <v>46067</v>
      </c>
      <c r="D102" s="6">
        <v>0.77083333333333304</v>
      </c>
      <c r="E102" t="s">
        <v>63</v>
      </c>
      <c r="F102" s="13">
        <v>4</v>
      </c>
      <c r="G102" s="13">
        <v>0</v>
      </c>
      <c r="H102" s="13" t="s">
        <v>21</v>
      </c>
      <c r="I102" s="13" t="s">
        <v>42</v>
      </c>
      <c r="J102" s="13" t="s">
        <v>22</v>
      </c>
      <c r="K102" s="13" t="s">
        <v>45</v>
      </c>
      <c r="L102" s="13" t="s">
        <v>24</v>
      </c>
      <c r="M102" s="13" t="s">
        <v>84</v>
      </c>
      <c r="N102" s="24" t="s">
        <v>23</v>
      </c>
      <c r="P102" s="24" t="s">
        <v>33</v>
      </c>
      <c r="Q102" s="13">
        <v>0</v>
      </c>
      <c r="R102" s="13">
        <v>0</v>
      </c>
      <c r="S102">
        <f>S100+Q102</f>
        <v>67</v>
      </c>
      <c r="T102">
        <f>T100+R102</f>
        <v>49</v>
      </c>
      <c r="U102" s="4" t="str">
        <f t="shared" si="11"/>
        <v>67-49</v>
      </c>
    </row>
    <row r="103" spans="1:30" x14ac:dyDescent="0.25">
      <c r="C103" s="5"/>
      <c r="D103" s="6"/>
    </row>
    <row r="104" spans="1:30" x14ac:dyDescent="0.25">
      <c r="A104" s="4"/>
      <c r="C104" s="5"/>
      <c r="D104" s="6"/>
    </row>
    <row r="105" spans="1:30" x14ac:dyDescent="0.25">
      <c r="A105" s="4"/>
      <c r="C105" s="5"/>
      <c r="D105" s="6"/>
    </row>
    <row r="109" spans="1:30" x14ac:dyDescent="0.25">
      <c r="F109" s="4"/>
    </row>
  </sheetData>
  <autoFilter ref="A1:AD102" xr:uid="{93034ED9-F3C0-42F8-8C99-E681B16A3183}"/>
  <phoneticPr fontId="9" type="noConversion"/>
  <hyperlinks>
    <hyperlink ref="B2" r:id="rId1" display="https://baloncestoenvivo.feb.es/Equipo.aspx?i=980023" xr:uid="{9B840B8F-7FF1-4A6C-A824-0F0D7A4B24A4}"/>
    <hyperlink ref="B3" r:id="rId2" display="https://baloncestoenvivo.feb.es/Equipo.aspx?i=980023" xr:uid="{153DD0CA-3734-4725-A3F1-041D4440AF32}"/>
    <hyperlink ref="B4" r:id="rId3" display="https://baloncestoenvivo.feb.es/Equipo.aspx?i=980023" xr:uid="{1790306F-D17E-4E67-8DE6-9935B8D6BF7D}"/>
    <hyperlink ref="B6" r:id="rId4" display="https://baloncestoenvivo.feb.es/Equipo.aspx?i=980023" xr:uid="{4BAB6011-9B10-490A-891A-2FC44734425B}"/>
    <hyperlink ref="B8" r:id="rId5" display="https://baloncestoenvivo.feb.es/Equipo.aspx?i=980023" xr:uid="{1BC81F0B-7DF8-4736-B05E-126B1D3FD657}"/>
    <hyperlink ref="B10" r:id="rId6" display="https://baloncestoenvivo.feb.es/Equipo.aspx?i=980023" xr:uid="{E000B9E4-CEF7-4A21-9867-ECDD02DDB73F}"/>
    <hyperlink ref="B12" r:id="rId7" display="https://baloncestoenvivo.feb.es/Equipo.aspx?i=980023" xr:uid="{8BEC8348-D1B7-48F0-A289-0938AC9835A3}"/>
    <hyperlink ref="B14" r:id="rId8" display="https://baloncestoenvivo.feb.es/Equipo.aspx?i=980023" xr:uid="{3F5C7565-D7C8-4C1F-B1A6-A425BF40F832}"/>
    <hyperlink ref="B16" r:id="rId9" display="https://baloncestoenvivo.feb.es/Equipo.aspx?i=980023" xr:uid="{676E92E0-9373-466F-8F26-911BCAC0B0C5}"/>
    <hyperlink ref="B18" r:id="rId10" display="https://baloncestoenvivo.feb.es/Equipo.aspx?i=980023" xr:uid="{5F5EAAB8-7B0C-45EA-9985-B08BFC0A1FF7}"/>
    <hyperlink ref="B20" r:id="rId11" display="https://baloncestoenvivo.feb.es/Equipo.aspx?i=980023" xr:uid="{C10B9499-4DAB-43B2-9408-DCD692F877B0}"/>
    <hyperlink ref="B22" r:id="rId12" display="https://baloncestoenvivo.feb.es/Equipo.aspx?i=980023" xr:uid="{5CF9D10C-3758-42EE-AC47-D9FDF2868FB7}"/>
    <hyperlink ref="B24" r:id="rId13" display="https://baloncestoenvivo.feb.es/Equipo.aspx?i=980023" xr:uid="{1B309F16-5040-471D-BBE2-41C8C1036B57}"/>
    <hyperlink ref="B27" r:id="rId14" display="https://baloncestoenvivo.feb.es/Equipo.aspx?i=980023" xr:uid="{9AEC28F5-4FD3-49B1-B0A5-C70C5A0EC753}"/>
    <hyperlink ref="B29" r:id="rId15" display="https://baloncestoenvivo.feb.es/Equipo.aspx?i=980023" xr:uid="{23F16677-045F-478F-8005-B14C51C287CA}"/>
    <hyperlink ref="B31" r:id="rId16" display="https://baloncestoenvivo.feb.es/Equipo.aspx?i=980023" xr:uid="{5949CAF2-246D-420C-836A-955FD7A35988}"/>
    <hyperlink ref="B33" r:id="rId17" display="https://baloncestoenvivo.feb.es/Equipo.aspx?i=980023" xr:uid="{D7BBFBD4-2695-4F1F-909A-8A35B4AB7D4B}"/>
    <hyperlink ref="B35" r:id="rId18" display="https://baloncestoenvivo.feb.es/Equipo.aspx?i=980023" xr:uid="{C7691E7C-2E11-43C4-BAE4-4DBD6AB984A1}"/>
    <hyperlink ref="B37" r:id="rId19" display="https://baloncestoenvivo.feb.es/Equipo.aspx?i=980023" xr:uid="{08EC9D81-8704-4DB8-88ED-548690D89658}"/>
    <hyperlink ref="B39" r:id="rId20" display="https://baloncestoenvivo.feb.es/Equipo.aspx?i=980023" xr:uid="{BA734A61-7052-42C1-93BF-0344A4172539}"/>
    <hyperlink ref="B41" r:id="rId21" display="https://baloncestoenvivo.feb.es/Equipo.aspx?i=980023" xr:uid="{22B268E4-EDDD-47CE-8AC9-C606678F341C}"/>
    <hyperlink ref="B43" r:id="rId22" display="https://baloncestoenvivo.feb.es/Equipo.aspx?i=980023" xr:uid="{1C0D56AC-B94A-4DB4-B0FC-C229197BC694}"/>
    <hyperlink ref="B47" r:id="rId23" display="https://baloncestoenvivo.feb.es/Equipo.aspx?i=980023" xr:uid="{C9ED40A9-4072-4008-8A1C-AF250B047BB0}"/>
    <hyperlink ref="B49" r:id="rId24" display="https://baloncestoenvivo.feb.es/Equipo.aspx?i=980023" xr:uid="{947EC72B-29F1-416B-997A-7B050E434584}"/>
    <hyperlink ref="B51" r:id="rId25" display="https://baloncestoenvivo.feb.es/Equipo.aspx?i=980023" xr:uid="{6CA00E13-EE4F-4529-BEFC-7D5CC1DEBDD5}"/>
    <hyperlink ref="B53" r:id="rId26" display="https://baloncestoenvivo.feb.es/Equipo.aspx?i=980023" xr:uid="{76261F3F-E09D-46E6-BD0E-000F90E2523A}"/>
    <hyperlink ref="B55" r:id="rId27" display="https://baloncestoenvivo.feb.es/Equipo.aspx?i=980023" xr:uid="{04AF2B93-8997-464F-8917-3B5390475EE4}"/>
    <hyperlink ref="B57" r:id="rId28" display="https://baloncestoenvivo.feb.es/Equipo.aspx?i=980023" xr:uid="{F70EEB8C-79C0-4959-A2BB-2DEE514381F0}"/>
    <hyperlink ref="B59" r:id="rId29" display="https://baloncestoenvivo.feb.es/Equipo.aspx?i=980023" xr:uid="{BC940465-F91B-47B3-A554-6973B1FBB42A}"/>
    <hyperlink ref="B61" r:id="rId30" display="https://baloncestoenvivo.feb.es/Equipo.aspx?i=980023" xr:uid="{B7B5ECE6-0011-4F18-AE24-C2546B96633B}"/>
    <hyperlink ref="B63" r:id="rId31" display="https://baloncestoenvivo.feb.es/Equipo.aspx?i=980023" xr:uid="{92308F00-2CA1-4C21-A0F8-917BEF83C2E9}"/>
    <hyperlink ref="B65" r:id="rId32" display="https://baloncestoenvivo.feb.es/Equipo.aspx?i=980023" xr:uid="{2C889394-D531-47DC-876F-A180D0C5BB29}"/>
    <hyperlink ref="B67" r:id="rId33" display="https://baloncestoenvivo.feb.es/Equipo.aspx?i=980023" xr:uid="{B6F6AFFF-D963-4F51-9613-A26F28AC5811}"/>
    <hyperlink ref="B69" r:id="rId34" display="https://baloncestoenvivo.feb.es/Equipo.aspx?i=980023" xr:uid="{2C8F86E2-1267-4E1E-BF32-F3FC9B457188}"/>
    <hyperlink ref="B71" r:id="rId35" display="https://baloncestoenvivo.feb.es/Equipo.aspx?i=980023" xr:uid="{6AADDE66-C6F9-4D99-828A-2919556DD2F4}"/>
    <hyperlink ref="B73" r:id="rId36" display="https://baloncestoenvivo.feb.es/Equipo.aspx?i=980023" xr:uid="{15BF797F-115D-48A4-9FB4-183B6CAC3DB5}"/>
    <hyperlink ref="B75" r:id="rId37" display="https://baloncestoenvivo.feb.es/Equipo.aspx?i=980023" xr:uid="{34FB0CF7-E6BA-4E58-83AC-E87CBAF0C798}"/>
    <hyperlink ref="B77" r:id="rId38" display="https://baloncestoenvivo.feb.es/Equipo.aspx?i=980023" xr:uid="{F5EF4F31-DFFB-4801-9792-EF0E7DD12302}"/>
    <hyperlink ref="B79" r:id="rId39" display="https://baloncestoenvivo.feb.es/Equipo.aspx?i=980023" xr:uid="{D796CEE9-182A-4212-813F-6F0B25853B76}"/>
    <hyperlink ref="B81" r:id="rId40" display="https://baloncestoenvivo.feb.es/Equipo.aspx?i=980023" xr:uid="{EC413FCB-B1AC-4D47-854D-1A4FE527F123}"/>
    <hyperlink ref="B83" r:id="rId41" display="https://baloncestoenvivo.feb.es/Equipo.aspx?i=980023" xr:uid="{821DA525-E5C3-4AC0-9DB8-327741C2FEB9}"/>
    <hyperlink ref="B85" r:id="rId42" display="https://baloncestoenvivo.feb.es/Equipo.aspx?i=980023" xr:uid="{0DE27573-4ECD-479B-9F9E-3947BA0985B9}"/>
    <hyperlink ref="B87" r:id="rId43" display="https://baloncestoenvivo.feb.es/Equipo.aspx?i=980023" xr:uid="{EAE68208-2550-4C83-955D-A1B74DA55BBC}"/>
    <hyperlink ref="B89" r:id="rId44" display="https://baloncestoenvivo.feb.es/Equipo.aspx?i=980023" xr:uid="{8ED85874-5AE9-4D3B-8A09-565793B9AE62}"/>
    <hyperlink ref="B91" r:id="rId45" display="https://baloncestoenvivo.feb.es/Equipo.aspx?i=980023" xr:uid="{27AE43AA-9A16-42EA-8C9A-16D54E6E3460}"/>
    <hyperlink ref="B93" r:id="rId46" display="https://baloncestoenvivo.feb.es/Equipo.aspx?i=980023" xr:uid="{9A1A5309-3CA9-4407-91C4-525B8F5B929C}"/>
    <hyperlink ref="B95" r:id="rId47" display="https://baloncestoenvivo.feb.es/Equipo.aspx?i=980023" xr:uid="{F3D1DF23-BE18-4CCC-8FAE-F1C0FBBB25D7}"/>
    <hyperlink ref="B97" r:id="rId48" display="https://baloncestoenvivo.feb.es/Equipo.aspx?i=980023" xr:uid="{8CB1B777-B1ED-4155-B6D2-83976C77F0C2}"/>
    <hyperlink ref="B99" r:id="rId49" display="https://baloncestoenvivo.feb.es/Equipo.aspx?i=980023" xr:uid="{B1B9E21F-9F90-4F45-B572-424A68BC8341}"/>
    <hyperlink ref="B102" r:id="rId50" display="https://baloncestoenvivo.feb.es/Equipo.aspx?i=980023" xr:uid="{D0810662-9485-4572-84F0-5C1D07010440}"/>
    <hyperlink ref="B5" r:id="rId51" display="https://baloncestoenvivo.feb.es/Equipo.aspx?i=980023" xr:uid="{90AEC029-5F21-42F7-AA49-982CE76D50DF}"/>
    <hyperlink ref="B7" r:id="rId52" display="https://baloncestoenvivo.feb.es/Equipo.aspx?i=980023" xr:uid="{A1D150AE-8EA5-4A4D-A190-52F67F773F32}"/>
    <hyperlink ref="B9" r:id="rId53" display="https://baloncestoenvivo.feb.es/Equipo.aspx?i=980023" xr:uid="{B5DDCADD-1CB5-4B2C-B2D2-673536513D62}"/>
    <hyperlink ref="B11" r:id="rId54" display="https://baloncestoenvivo.feb.es/Equipo.aspx?i=980023" xr:uid="{83C48BAE-4E3C-44F9-88FA-C4D22369A37A}"/>
    <hyperlink ref="B13" r:id="rId55" display="https://baloncestoenvivo.feb.es/Equipo.aspx?i=980023" xr:uid="{43F5996C-1FC7-4F0E-946F-26216DE5C151}"/>
    <hyperlink ref="B15" r:id="rId56" display="https://baloncestoenvivo.feb.es/Equipo.aspx?i=980023" xr:uid="{FEB76B9F-74CB-4958-931D-38A43E2B9608}"/>
    <hyperlink ref="B17" r:id="rId57" display="https://baloncestoenvivo.feb.es/Equipo.aspx?i=980023" xr:uid="{EEA0CBBE-867E-4F1D-92A6-E2C609C5993A}"/>
    <hyperlink ref="B19" r:id="rId58" display="https://baloncestoenvivo.feb.es/Equipo.aspx?i=980023" xr:uid="{B7B6D818-60BD-46A8-86BD-ECED6442E1C5}"/>
    <hyperlink ref="B21" r:id="rId59" display="https://baloncestoenvivo.feb.es/Equipo.aspx?i=980023" xr:uid="{991151FB-B4B7-4278-81FA-D0C9E8CBCB19}"/>
    <hyperlink ref="B23" r:id="rId60" display="https://baloncestoenvivo.feb.es/Equipo.aspx?i=980023" xr:uid="{FCC82F18-DDBF-4A4E-A659-6D496DDF836C}"/>
    <hyperlink ref="B25" r:id="rId61" display="https://baloncestoenvivo.feb.es/Equipo.aspx?i=980023" xr:uid="{90BBC809-7554-4496-A629-C7042A57F468}"/>
    <hyperlink ref="B26" r:id="rId62" display="https://baloncestoenvivo.feb.es/Equipo.aspx?i=980023" xr:uid="{1547CE93-8B48-430F-8D97-DDB8D86BE9FD}"/>
    <hyperlink ref="B28" r:id="rId63" display="https://baloncestoenvivo.feb.es/Equipo.aspx?i=980023" xr:uid="{C0DFFA06-C8C5-497C-9874-D9B227FF2A18}"/>
    <hyperlink ref="B30" r:id="rId64" display="https://baloncestoenvivo.feb.es/Equipo.aspx?i=980023" xr:uid="{7272F21E-B304-4C47-9957-61FD3C99FFC0}"/>
    <hyperlink ref="B32" r:id="rId65" display="https://baloncestoenvivo.feb.es/Equipo.aspx?i=980023" xr:uid="{5B77605B-1FDF-4217-B302-2747F55D02B3}"/>
    <hyperlink ref="B34" r:id="rId66" display="https://baloncestoenvivo.feb.es/Equipo.aspx?i=980023" xr:uid="{0400BCB9-FD6A-4854-9B19-317D89577DB5}"/>
    <hyperlink ref="B36" r:id="rId67" display="https://baloncestoenvivo.feb.es/Equipo.aspx?i=980023" xr:uid="{C68E5E30-0443-4A79-8E6B-0B85B0A8956E}"/>
    <hyperlink ref="B38" r:id="rId68" display="https://baloncestoenvivo.feb.es/Equipo.aspx?i=980023" xr:uid="{D8819FBE-5179-4433-A8A3-7F7F86E2CFE2}"/>
    <hyperlink ref="B40" r:id="rId69" display="https://baloncestoenvivo.feb.es/Equipo.aspx?i=980023" xr:uid="{C6F5CB6E-906D-4123-8FCB-88E60B0106F6}"/>
    <hyperlink ref="B42" r:id="rId70" display="https://baloncestoenvivo.feb.es/Equipo.aspx?i=980023" xr:uid="{072A3447-B448-4EE3-BC51-216CD08C3067}"/>
    <hyperlink ref="B44" r:id="rId71" display="https://baloncestoenvivo.feb.es/Equipo.aspx?i=980023" xr:uid="{F23B0948-3773-4B3F-8C32-E2C4D5A3EC98}"/>
    <hyperlink ref="B48" r:id="rId72" display="https://baloncestoenvivo.feb.es/Equipo.aspx?i=980023" xr:uid="{5607A7C2-5981-4058-BDEA-2D51CE1852F7}"/>
    <hyperlink ref="B50" r:id="rId73" display="https://baloncestoenvivo.feb.es/Equipo.aspx?i=980023" xr:uid="{89FC7DF8-D139-4457-925A-4470A5778E47}"/>
    <hyperlink ref="B52" r:id="rId74" display="https://baloncestoenvivo.feb.es/Equipo.aspx?i=980023" xr:uid="{AF4C9E45-32F0-4E61-83A3-F332F680069F}"/>
    <hyperlink ref="B54" r:id="rId75" display="https://baloncestoenvivo.feb.es/Equipo.aspx?i=980023" xr:uid="{723B2FF4-EF90-41B9-BAC6-4355B0C17F2B}"/>
    <hyperlink ref="B56" r:id="rId76" display="https://baloncestoenvivo.feb.es/Equipo.aspx?i=980023" xr:uid="{8BC55989-5C7C-495E-AEA5-6080DCD4BDC5}"/>
    <hyperlink ref="B58" r:id="rId77" display="https://baloncestoenvivo.feb.es/Equipo.aspx?i=980023" xr:uid="{15179491-BAB2-457F-B805-048B7F5277FF}"/>
    <hyperlink ref="B60" r:id="rId78" display="https://baloncestoenvivo.feb.es/Equipo.aspx?i=980023" xr:uid="{0FB15B97-A585-45EE-BA60-47FF533CA054}"/>
    <hyperlink ref="B62" r:id="rId79" display="https://baloncestoenvivo.feb.es/Equipo.aspx?i=980023" xr:uid="{BF033028-5378-46CF-B6A8-61CC57E8D2C1}"/>
    <hyperlink ref="B64" r:id="rId80" display="https://baloncestoenvivo.feb.es/Equipo.aspx?i=980023" xr:uid="{254A9319-6F7E-4A24-B964-53F1314C0650}"/>
    <hyperlink ref="B66" r:id="rId81" display="https://baloncestoenvivo.feb.es/Equipo.aspx?i=980023" xr:uid="{5648C4B7-DBB1-4E0E-8B8D-16CECAF8F353}"/>
    <hyperlink ref="B68" r:id="rId82" display="https://baloncestoenvivo.feb.es/Equipo.aspx?i=980023" xr:uid="{BE5C6863-FC11-4831-8B6D-944D2A706551}"/>
    <hyperlink ref="B70" r:id="rId83" display="https://baloncestoenvivo.feb.es/Equipo.aspx?i=980023" xr:uid="{A5A38F8F-14BA-496E-8CD9-5D4209F19B07}"/>
    <hyperlink ref="B72" r:id="rId84" display="https://baloncestoenvivo.feb.es/Equipo.aspx?i=980023" xr:uid="{8142DDCD-4598-4F19-BCA6-515AB956EF89}"/>
    <hyperlink ref="B74" r:id="rId85" display="https://baloncestoenvivo.feb.es/Equipo.aspx?i=980023" xr:uid="{FA11A462-504A-4C6A-86A1-A042BD04CD32}"/>
    <hyperlink ref="B76" r:id="rId86" display="https://baloncestoenvivo.feb.es/Equipo.aspx?i=980023" xr:uid="{6C4B5791-D2E2-4E3E-A227-1C73EA7F79CE}"/>
    <hyperlink ref="B78" r:id="rId87" display="https://baloncestoenvivo.feb.es/Equipo.aspx?i=980023" xr:uid="{F8033EA3-1FDA-4540-A0C3-217362C435AD}"/>
    <hyperlink ref="B80" r:id="rId88" display="https://baloncestoenvivo.feb.es/Equipo.aspx?i=980023" xr:uid="{2DA35441-6F68-4BA8-BB6F-85FED3DEB2BC}"/>
    <hyperlink ref="B82" r:id="rId89" display="https://baloncestoenvivo.feb.es/Equipo.aspx?i=980023" xr:uid="{E91824FD-DBC1-4155-93E8-8FED4031D48F}"/>
    <hyperlink ref="B84" r:id="rId90" display="https://baloncestoenvivo.feb.es/Equipo.aspx?i=980023" xr:uid="{4C2751A3-A696-4BDA-B445-FB66EC1B258B}"/>
    <hyperlink ref="B86" r:id="rId91" display="https://baloncestoenvivo.feb.es/Equipo.aspx?i=980023" xr:uid="{7DA636BF-22AA-470F-BFAB-77D352221C02}"/>
    <hyperlink ref="B88" r:id="rId92" display="https://baloncestoenvivo.feb.es/Equipo.aspx?i=980023" xr:uid="{973856B2-1F56-4C0F-A148-F26E1D83DFC7}"/>
    <hyperlink ref="B90" r:id="rId93" display="https://baloncestoenvivo.feb.es/Equipo.aspx?i=980023" xr:uid="{764C2B7C-EFFF-4DD0-BD9D-B4F8F228C1FC}"/>
    <hyperlink ref="B92" r:id="rId94" display="https://baloncestoenvivo.feb.es/Equipo.aspx?i=980023" xr:uid="{CD8B60A1-8736-482A-A75E-910453CCC4BB}"/>
    <hyperlink ref="B94" r:id="rId95" display="https://baloncestoenvivo.feb.es/Equipo.aspx?i=980023" xr:uid="{ED587BD5-8206-4B3C-8575-1DF962074FC3}"/>
    <hyperlink ref="B96" r:id="rId96" display="https://baloncestoenvivo.feb.es/Equipo.aspx?i=980023" xr:uid="{B537C91F-8606-4E85-A9E1-8B32954C0FF2}"/>
    <hyperlink ref="B98" r:id="rId97" display="https://baloncestoenvivo.feb.es/Equipo.aspx?i=980023" xr:uid="{9E10CC54-D130-4CAC-9360-3026D7CE0321}"/>
    <hyperlink ref="B100" r:id="rId98" display="https://baloncestoenvivo.feb.es/Equipo.aspx?i=980023" xr:uid="{EA4BBAAE-E406-4F75-8431-E8EDC9A707C4}"/>
    <hyperlink ref="B45" r:id="rId99" display="https://baloncestoenvivo.feb.es/Equipo.aspx?i=980023" xr:uid="{40A3381C-950F-42F9-8E86-CE7785B44916}"/>
    <hyperlink ref="B46" r:id="rId100" display="https://baloncestoenvivo.feb.es/Equipo.aspx?i=980023" xr:uid="{78B1BDD8-D73E-4BCB-8D49-69773FEAB910}"/>
    <hyperlink ref="B101" r:id="rId101" display="https://baloncestoenvivo.feb.es/Equipo.aspx?i=980023" xr:uid="{FC7129FC-5DE4-4D2D-8B04-7D9C6ABC4E03}"/>
  </hyperlinks>
  <pageMargins left="0.7" right="0.7" top="0.75" bottom="0.75" header="0.3" footer="0.3"/>
  <pageSetup paperSize="9" orientation="portrait" r:id="rId1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B5DD6F-704A-4599-99D1-494CAE00F7DC}">
  <dimension ref="A1:N95"/>
  <sheetViews>
    <sheetView zoomScale="154" workbookViewId="0">
      <selection sqref="A1:XFD1048576"/>
    </sheetView>
  </sheetViews>
  <sheetFormatPr baseColWidth="10" defaultRowHeight="15" x14ac:dyDescent="0.25"/>
  <cols>
    <col min="2" max="2" width="20" bestFit="1" customWidth="1"/>
    <col min="3" max="3" width="0" hidden="1" customWidth="1"/>
    <col min="5" max="5" width="0" hidden="1" customWidth="1"/>
    <col min="7" max="7" width="13.42578125" customWidth="1"/>
    <col min="10" max="10" width="15" customWidth="1"/>
    <col min="12" max="12" width="15.5703125" customWidth="1"/>
    <col min="13" max="13" width="12.85546875" customWidth="1"/>
    <col min="14" max="14" width="13.140625" customWidth="1"/>
  </cols>
  <sheetData>
    <row r="1" spans="1:14" x14ac:dyDescent="0.25">
      <c r="A1" s="2" t="s">
        <v>5</v>
      </c>
      <c r="B1" s="3" t="s">
        <v>25</v>
      </c>
      <c r="C1" s="3" t="s">
        <v>26</v>
      </c>
      <c r="D1" s="3" t="s">
        <v>27</v>
      </c>
      <c r="E1" s="3" t="s">
        <v>28</v>
      </c>
      <c r="F1" s="3" t="s">
        <v>31</v>
      </c>
      <c r="G1" s="3" t="s">
        <v>29</v>
      </c>
    </row>
    <row r="2" spans="1:14" x14ac:dyDescent="0.25">
      <c r="A2" s="7">
        <v>1</v>
      </c>
      <c r="D2">
        <v>1</v>
      </c>
      <c r="E2">
        <v>1</v>
      </c>
    </row>
    <row r="3" spans="1:14" x14ac:dyDescent="0.25">
      <c r="A3" s="7">
        <v>1</v>
      </c>
    </row>
    <row r="4" spans="1:14" x14ac:dyDescent="0.25">
      <c r="A4" s="7">
        <v>1</v>
      </c>
      <c r="J4" s="15" t="s">
        <v>35</v>
      </c>
      <c r="K4" s="17" t="s">
        <v>25</v>
      </c>
      <c r="L4" s="17" t="s">
        <v>36</v>
      </c>
      <c r="M4" s="18" t="s">
        <v>27</v>
      </c>
      <c r="N4" s="18" t="s">
        <v>37</v>
      </c>
    </row>
    <row r="5" spans="1:14" x14ac:dyDescent="0.25">
      <c r="A5" s="7">
        <v>1</v>
      </c>
      <c r="J5">
        <v>1</v>
      </c>
      <c r="K5">
        <v>0</v>
      </c>
      <c r="L5">
        <v>0</v>
      </c>
      <c r="M5">
        <v>3</v>
      </c>
      <c r="N5">
        <v>1</v>
      </c>
    </row>
    <row r="6" spans="1:14" x14ac:dyDescent="0.25">
      <c r="A6" s="7">
        <v>1</v>
      </c>
      <c r="J6">
        <v>2</v>
      </c>
      <c r="K6">
        <v>5</v>
      </c>
      <c r="L6">
        <v>0</v>
      </c>
      <c r="M6">
        <v>6</v>
      </c>
      <c r="N6">
        <v>4</v>
      </c>
    </row>
    <row r="7" spans="1:14" x14ac:dyDescent="0.25">
      <c r="A7" s="7">
        <v>1</v>
      </c>
      <c r="J7">
        <v>3</v>
      </c>
      <c r="K7">
        <v>5</v>
      </c>
      <c r="L7">
        <v>4</v>
      </c>
      <c r="M7">
        <v>5</v>
      </c>
      <c r="N7">
        <v>3</v>
      </c>
    </row>
    <row r="8" spans="1:14" x14ac:dyDescent="0.25">
      <c r="A8" s="7">
        <v>1</v>
      </c>
      <c r="J8">
        <v>4</v>
      </c>
      <c r="K8">
        <v>2</v>
      </c>
      <c r="L8">
        <v>0</v>
      </c>
      <c r="M8">
        <v>1</v>
      </c>
      <c r="N8">
        <v>0</v>
      </c>
    </row>
    <row r="9" spans="1:14" x14ac:dyDescent="0.25">
      <c r="A9" s="7">
        <v>1</v>
      </c>
      <c r="J9" s="16" t="s">
        <v>38</v>
      </c>
      <c r="K9" s="15">
        <f>SUM(K5:K8)</f>
        <v>12</v>
      </c>
      <c r="L9" s="15">
        <f t="shared" ref="L9:N9" si="0">SUM(L5:L8)</f>
        <v>4</v>
      </c>
      <c r="M9" s="15">
        <f t="shared" si="0"/>
        <v>15</v>
      </c>
      <c r="N9" s="15">
        <f t="shared" si="0"/>
        <v>8</v>
      </c>
    </row>
    <row r="10" spans="1:14" x14ac:dyDescent="0.25">
      <c r="A10" s="7">
        <v>1</v>
      </c>
    </row>
    <row r="11" spans="1:14" x14ac:dyDescent="0.25">
      <c r="A11" s="7">
        <v>1</v>
      </c>
    </row>
    <row r="12" spans="1:14" x14ac:dyDescent="0.25">
      <c r="A12" s="7">
        <v>1</v>
      </c>
      <c r="D12">
        <v>1</v>
      </c>
      <c r="G12">
        <v>1</v>
      </c>
    </row>
    <row r="13" spans="1:14" x14ac:dyDescent="0.25">
      <c r="A13" s="7">
        <v>1</v>
      </c>
    </row>
    <row r="14" spans="1:14" x14ac:dyDescent="0.25">
      <c r="A14" s="7">
        <v>1</v>
      </c>
    </row>
    <row r="15" spans="1:14" x14ac:dyDescent="0.25">
      <c r="A15" s="7">
        <v>1</v>
      </c>
    </row>
    <row r="16" spans="1:14" x14ac:dyDescent="0.25">
      <c r="A16" s="7">
        <v>1</v>
      </c>
    </row>
    <row r="17" spans="1:7" x14ac:dyDescent="0.25">
      <c r="A17" s="7">
        <v>1</v>
      </c>
    </row>
    <row r="18" spans="1:7" x14ac:dyDescent="0.25">
      <c r="A18" s="7">
        <v>1</v>
      </c>
    </row>
    <row r="19" spans="1:7" x14ac:dyDescent="0.25">
      <c r="A19" s="7">
        <v>1</v>
      </c>
    </row>
    <row r="20" spans="1:7" x14ac:dyDescent="0.25">
      <c r="A20" s="7">
        <v>1</v>
      </c>
      <c r="D20">
        <v>1</v>
      </c>
    </row>
    <row r="21" spans="1:7" x14ac:dyDescent="0.25">
      <c r="A21" s="7">
        <v>1</v>
      </c>
    </row>
    <row r="22" spans="1:7" x14ac:dyDescent="0.25">
      <c r="A22" s="7">
        <v>1</v>
      </c>
    </row>
    <row r="23" spans="1:7" x14ac:dyDescent="0.25">
      <c r="A23" s="7">
        <v>1</v>
      </c>
    </row>
    <row r="24" spans="1:7" x14ac:dyDescent="0.25">
      <c r="A24" s="11">
        <v>2</v>
      </c>
    </row>
    <row r="25" spans="1:7" x14ac:dyDescent="0.25">
      <c r="A25" s="11">
        <v>2</v>
      </c>
      <c r="D25">
        <v>1</v>
      </c>
      <c r="G25">
        <v>2</v>
      </c>
    </row>
    <row r="26" spans="1:7" x14ac:dyDescent="0.25">
      <c r="A26" s="11">
        <v>2</v>
      </c>
    </row>
    <row r="27" spans="1:7" x14ac:dyDescent="0.25">
      <c r="A27" s="11">
        <v>2</v>
      </c>
      <c r="D27">
        <v>1</v>
      </c>
      <c r="G27">
        <v>2</v>
      </c>
    </row>
    <row r="28" spans="1:7" x14ac:dyDescent="0.25">
      <c r="A28" s="11">
        <v>2</v>
      </c>
    </row>
    <row r="29" spans="1:7" x14ac:dyDescent="0.25">
      <c r="A29" s="11">
        <v>2</v>
      </c>
      <c r="D29">
        <v>1</v>
      </c>
    </row>
    <row r="30" spans="1:7" x14ac:dyDescent="0.25">
      <c r="A30" s="11">
        <v>2</v>
      </c>
      <c r="B30">
        <v>1</v>
      </c>
    </row>
    <row r="31" spans="1:7" x14ac:dyDescent="0.25">
      <c r="A31" s="11">
        <v>2</v>
      </c>
    </row>
    <row r="32" spans="1:7" x14ac:dyDescent="0.25">
      <c r="A32" s="11">
        <v>2</v>
      </c>
    </row>
    <row r="33" spans="1:4" x14ac:dyDescent="0.25">
      <c r="A33" s="11">
        <v>2</v>
      </c>
    </row>
    <row r="34" spans="1:4" x14ac:dyDescent="0.25">
      <c r="A34" s="11">
        <v>2</v>
      </c>
      <c r="B34">
        <v>1</v>
      </c>
    </row>
    <row r="35" spans="1:4" x14ac:dyDescent="0.25">
      <c r="A35" s="11">
        <v>2</v>
      </c>
    </row>
    <row r="36" spans="1:4" x14ac:dyDescent="0.25">
      <c r="A36" s="11">
        <v>2</v>
      </c>
    </row>
    <row r="37" spans="1:4" x14ac:dyDescent="0.25">
      <c r="A37" s="19">
        <v>2</v>
      </c>
    </row>
    <row r="38" spans="1:4" x14ac:dyDescent="0.25">
      <c r="A38" s="11">
        <v>2</v>
      </c>
      <c r="D38">
        <v>1</v>
      </c>
    </row>
    <row r="39" spans="1:4" x14ac:dyDescent="0.25">
      <c r="A39" s="11">
        <v>2</v>
      </c>
    </row>
    <row r="40" spans="1:4" x14ac:dyDescent="0.25">
      <c r="A40" s="11">
        <v>2</v>
      </c>
      <c r="B40">
        <v>1</v>
      </c>
    </row>
    <row r="41" spans="1:4" x14ac:dyDescent="0.25">
      <c r="A41" s="11">
        <v>2</v>
      </c>
      <c r="B41">
        <v>1</v>
      </c>
    </row>
    <row r="42" spans="1:4" x14ac:dyDescent="0.25">
      <c r="A42" s="11">
        <v>2</v>
      </c>
      <c r="D42">
        <v>2</v>
      </c>
    </row>
    <row r="43" spans="1:4" x14ac:dyDescent="0.25">
      <c r="A43" s="21">
        <v>2</v>
      </c>
    </row>
    <row r="44" spans="1:4" x14ac:dyDescent="0.25">
      <c r="A44" s="11">
        <v>2</v>
      </c>
    </row>
    <row r="45" spans="1:4" x14ac:dyDescent="0.25">
      <c r="A45" s="11">
        <v>2</v>
      </c>
      <c r="B45">
        <v>1</v>
      </c>
    </row>
    <row r="46" spans="1:4" x14ac:dyDescent="0.25">
      <c r="A46" s="11">
        <v>2</v>
      </c>
    </row>
    <row r="47" spans="1:4" x14ac:dyDescent="0.25">
      <c r="A47" s="11">
        <v>2</v>
      </c>
    </row>
    <row r="48" spans="1:4" x14ac:dyDescent="0.25">
      <c r="A48" s="11"/>
    </row>
    <row r="49" spans="1:7" x14ac:dyDescent="0.25">
      <c r="A49" s="11">
        <v>2</v>
      </c>
    </row>
    <row r="50" spans="1:7" x14ac:dyDescent="0.25">
      <c r="A50" s="12">
        <v>3</v>
      </c>
    </row>
    <row r="51" spans="1:7" x14ac:dyDescent="0.25">
      <c r="A51" s="12">
        <v>3</v>
      </c>
    </row>
    <row r="52" spans="1:7" x14ac:dyDescent="0.25">
      <c r="A52" s="12">
        <v>3</v>
      </c>
    </row>
    <row r="53" spans="1:7" x14ac:dyDescent="0.25">
      <c r="A53" s="12">
        <v>3</v>
      </c>
      <c r="B53">
        <v>1</v>
      </c>
    </row>
    <row r="54" spans="1:7" x14ac:dyDescent="0.25">
      <c r="A54" s="12">
        <v>3</v>
      </c>
      <c r="B54">
        <v>1</v>
      </c>
      <c r="F54">
        <v>2</v>
      </c>
    </row>
    <row r="55" spans="1:7" x14ac:dyDescent="0.25">
      <c r="A55" s="12">
        <v>3</v>
      </c>
    </row>
    <row r="56" spans="1:7" x14ac:dyDescent="0.25">
      <c r="A56" s="12">
        <v>3</v>
      </c>
    </row>
    <row r="57" spans="1:7" x14ac:dyDescent="0.25">
      <c r="A57" s="12">
        <v>3</v>
      </c>
      <c r="B57">
        <v>1</v>
      </c>
    </row>
    <row r="58" spans="1:7" x14ac:dyDescent="0.25">
      <c r="A58" s="12">
        <v>3</v>
      </c>
      <c r="D58">
        <v>2</v>
      </c>
      <c r="G58">
        <v>1</v>
      </c>
    </row>
    <row r="59" spans="1:7" x14ac:dyDescent="0.25">
      <c r="A59" s="12">
        <v>3</v>
      </c>
    </row>
    <row r="60" spans="1:7" x14ac:dyDescent="0.25">
      <c r="A60" s="12">
        <v>3</v>
      </c>
    </row>
    <row r="61" spans="1:7" x14ac:dyDescent="0.25">
      <c r="A61" s="12">
        <v>3</v>
      </c>
    </row>
    <row r="62" spans="1:7" x14ac:dyDescent="0.25">
      <c r="A62" s="12">
        <v>3</v>
      </c>
    </row>
    <row r="63" spans="1:7" x14ac:dyDescent="0.25">
      <c r="A63" s="12">
        <v>3</v>
      </c>
      <c r="D63">
        <v>1</v>
      </c>
    </row>
    <row r="64" spans="1:7" x14ac:dyDescent="0.25">
      <c r="A64" s="12">
        <v>3</v>
      </c>
    </row>
    <row r="65" spans="1:7" x14ac:dyDescent="0.25">
      <c r="A65" s="12">
        <v>3</v>
      </c>
      <c r="B65">
        <v>1</v>
      </c>
      <c r="F65">
        <v>2</v>
      </c>
    </row>
    <row r="66" spans="1:7" x14ac:dyDescent="0.25">
      <c r="A66" s="12">
        <v>3</v>
      </c>
    </row>
    <row r="67" spans="1:7" x14ac:dyDescent="0.25">
      <c r="A67" s="12">
        <v>3</v>
      </c>
    </row>
    <row r="68" spans="1:7" x14ac:dyDescent="0.25">
      <c r="A68" s="12">
        <v>3</v>
      </c>
    </row>
    <row r="69" spans="1:7" x14ac:dyDescent="0.25">
      <c r="A69" s="12">
        <v>3</v>
      </c>
    </row>
    <row r="70" spans="1:7" x14ac:dyDescent="0.25">
      <c r="A70" s="12">
        <v>3</v>
      </c>
      <c r="B70">
        <v>1</v>
      </c>
    </row>
    <row r="71" spans="1:7" x14ac:dyDescent="0.25">
      <c r="A71" s="12">
        <v>3</v>
      </c>
      <c r="D71">
        <v>1</v>
      </c>
      <c r="G71">
        <v>2</v>
      </c>
    </row>
    <row r="72" spans="1:7" x14ac:dyDescent="0.25">
      <c r="A72" s="13">
        <v>4</v>
      </c>
    </row>
    <row r="73" spans="1:7" x14ac:dyDescent="0.25">
      <c r="A73" s="13">
        <v>4</v>
      </c>
    </row>
    <row r="74" spans="1:7" x14ac:dyDescent="0.25">
      <c r="A74" s="13">
        <v>4</v>
      </c>
    </row>
    <row r="75" spans="1:7" x14ac:dyDescent="0.25">
      <c r="A75" s="14">
        <v>4</v>
      </c>
    </row>
    <row r="76" spans="1:7" x14ac:dyDescent="0.25">
      <c r="A76" s="13">
        <v>4</v>
      </c>
    </row>
    <row r="77" spans="1:7" x14ac:dyDescent="0.25">
      <c r="A77" s="13">
        <v>4</v>
      </c>
    </row>
    <row r="78" spans="1:7" x14ac:dyDescent="0.25">
      <c r="A78" s="13">
        <v>4</v>
      </c>
    </row>
    <row r="79" spans="1:7" x14ac:dyDescent="0.25">
      <c r="A79" s="13">
        <v>4</v>
      </c>
    </row>
    <row r="80" spans="1:7" x14ac:dyDescent="0.25">
      <c r="A80" s="13">
        <v>4</v>
      </c>
    </row>
    <row r="81" spans="1:7" x14ac:dyDescent="0.25">
      <c r="A81" s="13">
        <v>4</v>
      </c>
    </row>
    <row r="82" spans="1:7" x14ac:dyDescent="0.25">
      <c r="A82" s="13">
        <v>4</v>
      </c>
    </row>
    <row r="83" spans="1:7" x14ac:dyDescent="0.25">
      <c r="A83" s="13">
        <v>4</v>
      </c>
      <c r="D83">
        <v>1</v>
      </c>
    </row>
    <row r="84" spans="1:7" x14ac:dyDescent="0.25">
      <c r="A84" s="13">
        <v>4</v>
      </c>
    </row>
    <row r="85" spans="1:7" x14ac:dyDescent="0.25">
      <c r="A85" s="13">
        <v>4</v>
      </c>
    </row>
    <row r="86" spans="1:7" x14ac:dyDescent="0.25">
      <c r="A86" s="13">
        <v>4</v>
      </c>
    </row>
    <row r="87" spans="1:7" x14ac:dyDescent="0.25">
      <c r="A87" s="13">
        <v>4</v>
      </c>
    </row>
    <row r="88" spans="1:7" x14ac:dyDescent="0.25">
      <c r="A88" s="13">
        <v>4</v>
      </c>
      <c r="B88">
        <v>1</v>
      </c>
    </row>
    <row r="89" spans="1:7" x14ac:dyDescent="0.25">
      <c r="A89" s="13">
        <v>4</v>
      </c>
    </row>
    <row r="90" spans="1:7" x14ac:dyDescent="0.25">
      <c r="A90" s="13">
        <v>4</v>
      </c>
    </row>
    <row r="91" spans="1:7" x14ac:dyDescent="0.25">
      <c r="A91" s="14">
        <v>4</v>
      </c>
    </row>
    <row r="92" spans="1:7" x14ac:dyDescent="0.25">
      <c r="A92" s="13">
        <v>4</v>
      </c>
      <c r="B92">
        <v>1</v>
      </c>
    </row>
    <row r="93" spans="1:7" x14ac:dyDescent="0.25">
      <c r="A93" s="13">
        <v>4</v>
      </c>
    </row>
    <row r="94" spans="1:7" x14ac:dyDescent="0.25">
      <c r="A94" s="13">
        <v>4</v>
      </c>
    </row>
    <row r="95" spans="1:7" x14ac:dyDescent="0.25">
      <c r="A95" s="13">
        <v>4</v>
      </c>
      <c r="B95" s="13"/>
      <c r="C95" s="13"/>
      <c r="D95" s="13"/>
      <c r="E95" s="13"/>
      <c r="F95" s="13"/>
      <c r="G95" s="13"/>
    </row>
  </sheetData>
  <autoFilter ref="A1:N98" xr:uid="{78B5DD6F-704A-4599-99D1-494CAE00F7DC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BEC2A5-FBE6-47B9-B817-E77F0A47E2A4}">
  <dimension ref="A1:C2"/>
  <sheetViews>
    <sheetView workbookViewId="0">
      <selection activeCell="B3" sqref="B3"/>
    </sheetView>
  </sheetViews>
  <sheetFormatPr baseColWidth="10" defaultRowHeight="15" x14ac:dyDescent="0.25"/>
  <cols>
    <col min="2" max="2" width="19.42578125" customWidth="1"/>
  </cols>
  <sheetData>
    <row r="1" spans="1:3" x14ac:dyDescent="0.25">
      <c r="A1" t="s">
        <v>35</v>
      </c>
      <c r="B1" s="2" t="s">
        <v>68</v>
      </c>
      <c r="C1" s="2" t="s">
        <v>13</v>
      </c>
    </row>
    <row r="2" spans="1:3" x14ac:dyDescent="0.25">
      <c r="B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FERRER, ANNA (DIR.ECO.GES)</dc:creator>
  <cp:lastModifiedBy>FERRER, ANNA (DIR.ECO.GES)</cp:lastModifiedBy>
  <dcterms:created xsi:type="dcterms:W3CDTF">2025-10-27T10:43:28Z</dcterms:created>
  <dcterms:modified xsi:type="dcterms:W3CDTF">2026-08-06T17:26:30Z</dcterms:modified>
</cp:coreProperties>
</file>