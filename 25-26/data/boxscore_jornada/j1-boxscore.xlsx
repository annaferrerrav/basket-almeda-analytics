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ospitalclinicdebarcelona-my.sharepoint.com/personal/aferrerr_clinic_cat/Documents/Escritorio/LF2 - 2025-56/LF2/boxscore_jornada/"/>
    </mc:Choice>
  </mc:AlternateContent>
  <xr:revisionPtr revIDLastSave="131" documentId="11_0E51E0F789FB0F2A5F2C4CC01DEC239D787B865E" xr6:coauthVersionLast="47" xr6:coauthVersionMax="47" xr10:uidLastSave="{98CBE675-79FF-4AE2-9A1A-E1A3CE1C82B9}"/>
  <bookViews>
    <workbookView xWindow="-120" yWindow="-16320" windowWidth="29040" windowHeight="15720" xr2:uid="{00000000-000D-0000-FFFF-FFFF00000000}"/>
  </bookViews>
  <sheets>
    <sheet name="Sheet1" sheetId="1" r:id="rId1"/>
    <sheet name="Hoja1" sheetId="2" r:id="rId2"/>
  </sheets>
  <definedNames>
    <definedName name="_xlnm._FilterDatabase" localSheetId="1" hidden="1">Hoja1!$A$1:$AJ$16</definedName>
    <definedName name="_xlnm._FilterDatabase" localSheetId="0" hidden="1">Sheet1!$A$1:$BA$156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2" l="1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D16" i="2"/>
  <c r="AE16" i="2"/>
  <c r="AF16" i="2"/>
  <c r="AG16" i="2"/>
  <c r="AH16" i="2"/>
  <c r="AI16" i="2"/>
  <c r="AJ16" i="2"/>
  <c r="C16" i="2"/>
  <c r="AW15" i="1"/>
  <c r="AW16" i="1"/>
  <c r="AW17" i="1"/>
  <c r="AW18" i="1"/>
  <c r="AW19" i="1"/>
  <c r="AW20" i="1"/>
  <c r="AW21" i="1"/>
  <c r="AW22" i="1"/>
  <c r="AW23" i="1"/>
  <c r="AW24" i="1"/>
  <c r="AW25" i="1"/>
  <c r="AW14" i="1"/>
  <c r="AV15" i="1"/>
  <c r="AV16" i="1"/>
  <c r="AV17" i="1"/>
  <c r="AV18" i="1"/>
  <c r="AV19" i="1"/>
  <c r="AV20" i="1"/>
  <c r="AV21" i="1"/>
  <c r="AV22" i="1"/>
  <c r="AV23" i="1"/>
  <c r="AV24" i="1"/>
  <c r="AV25" i="1"/>
  <c r="AV14" i="1"/>
  <c r="AU15" i="1"/>
  <c r="AU16" i="1"/>
  <c r="AU17" i="1"/>
  <c r="AU18" i="1"/>
  <c r="AU19" i="1"/>
  <c r="AU20" i="1"/>
  <c r="AU21" i="1"/>
  <c r="AU22" i="1"/>
  <c r="AU23" i="1"/>
  <c r="AU24" i="1"/>
  <c r="AU25" i="1"/>
  <c r="AU14" i="1"/>
</calcChain>
</file>

<file path=xl/sharedStrings.xml><?xml version="1.0" encoding="utf-8"?>
<sst xmlns="http://schemas.openxmlformats.org/spreadsheetml/2006/main" count="1030" uniqueCount="214">
  <si>
    <t>Equip</t>
  </si>
  <si>
    <t>Jornada</t>
  </si>
  <si>
    <t>Rival</t>
  </si>
  <si>
    <t>Data</t>
  </si>
  <si>
    <t>Hora</t>
  </si>
  <si>
    <t>Pista</t>
  </si>
  <si>
    <t>Victòria</t>
  </si>
  <si>
    <t>Inicial</t>
  </si>
  <si>
    <t>Dorsal</t>
  </si>
  <si>
    <t>Jugador</t>
  </si>
  <si>
    <t>MIN</t>
  </si>
  <si>
    <t>PT</t>
  </si>
  <si>
    <t>T2C</t>
  </si>
  <si>
    <t>T2I</t>
  </si>
  <si>
    <t>T2 (%)</t>
  </si>
  <si>
    <t>T3C</t>
  </si>
  <si>
    <t>T3I</t>
  </si>
  <si>
    <t>T3 (%)</t>
  </si>
  <si>
    <t>TCC</t>
  </si>
  <si>
    <t>TCI</t>
  </si>
  <si>
    <t>TC (%)</t>
  </si>
  <si>
    <t>TLC</t>
  </si>
  <si>
    <t>TLI</t>
  </si>
  <si>
    <t>TL (%)</t>
  </si>
  <si>
    <t>RO</t>
  </si>
  <si>
    <t>RD</t>
  </si>
  <si>
    <t>RT</t>
  </si>
  <si>
    <t>AS</t>
  </si>
  <si>
    <t>BR</t>
  </si>
  <si>
    <t>BP</t>
  </si>
  <si>
    <t>TapF</t>
  </si>
  <si>
    <t>TapC</t>
  </si>
  <si>
    <t>MT</t>
  </si>
  <si>
    <t>FC</t>
  </si>
  <si>
    <t>FR</t>
  </si>
  <si>
    <t>VA</t>
  </si>
  <si>
    <t>+/-</t>
  </si>
  <si>
    <t>Plays</t>
  </si>
  <si>
    <t>Plays/min</t>
  </si>
  <si>
    <t>%TS</t>
  </si>
  <si>
    <t>%TO</t>
  </si>
  <si>
    <t>RTL</t>
  </si>
  <si>
    <t>%US2</t>
  </si>
  <si>
    <t>%US3</t>
  </si>
  <si>
    <t>%US1</t>
  </si>
  <si>
    <t>CESUR DISTRITO OLIMPICO</t>
  </si>
  <si>
    <t>BASKET ALMEDA</t>
  </si>
  <si>
    <t>DPES CB CIUDAD DE MOSTOLES</t>
  </si>
  <si>
    <t>ELSAMEX CB ANDRATX</t>
  </si>
  <si>
    <t>ESCO GRUPO FEMENINO ALCORCON</t>
  </si>
  <si>
    <t>SEGLE XXI</t>
  </si>
  <si>
    <t>GEIEG PACISA</t>
  </si>
  <si>
    <t>EL PLANTEL GMASB</t>
  </si>
  <si>
    <t>CB CLARET BENIMACLET</t>
  </si>
  <si>
    <t>DISHELEC 65 VILADECANS</t>
  </si>
  <si>
    <t>MAGEC TÍAS LANZAROTE CONTRA LA VIOLENCIA DE GÉNERO</t>
  </si>
  <si>
    <t>SPAR GRAN CANARIA</t>
  </si>
  <si>
    <t>C. B. ISLA BONITA</t>
  </si>
  <si>
    <t>HIERROS DÍAZ EXTREMADURA MIRALVALLE</t>
  </si>
  <si>
    <t>04/10/2025</t>
  </si>
  <si>
    <t>17:00</t>
  </si>
  <si>
    <t>17:30</t>
  </si>
  <si>
    <t>18:00</t>
  </si>
  <si>
    <t>20:30</t>
  </si>
  <si>
    <t>Casa</t>
  </si>
  <si>
    <t>Fora</t>
  </si>
  <si>
    <t>ARRANZ ALBERO, BLANCA</t>
  </si>
  <si>
    <t>FRANCISCO ABOS, SARA</t>
  </si>
  <si>
    <t>PICOS PORRAS, ANA</t>
  </si>
  <si>
    <t>CAMPOS ALUM, CRISTINA</t>
  </si>
  <si>
    <t>GOMEZ HERNANDEZ, MARTA</t>
  </si>
  <si>
    <t>ALONSO-BASURTO CUMPLIDO, PATRICIA</t>
  </si>
  <si>
    <t>MARTINEZ MAJAN, MIRIAM CAYETANA</t>
  </si>
  <si>
    <t>LEAL FLORES, CARMEN ROCIO</t>
  </si>
  <si>
    <t>GONZÁLEZ RAMÍREZ, ALICIA</t>
  </si>
  <si>
    <t>LOPEZ RIAÑO, VEGA</t>
  </si>
  <si>
    <t>FLORES AGUADO, REBECA</t>
  </si>
  <si>
    <t>TOTAL</t>
  </si>
  <si>
    <t>LLODRA JAEN, MARIA</t>
  </si>
  <si>
    <t>GARCIA MENÉNDEZ, MARINA</t>
  </si>
  <si>
    <t>BALIBREA OLIVERAS, CLAUDIA</t>
  </si>
  <si>
    <t>TIERNO MARTÍ, LAURA</t>
  </si>
  <si>
    <t>PUJOL MARTINEZ, CRISTINA</t>
  </si>
  <si>
    <t>JOVE FUSTE, LAIA</t>
  </si>
  <si>
    <t>DIAZ-GUERRA PRATS, CARLOTA</t>
  </si>
  <si>
    <t>MORENO MENGIBAR, CARLA</t>
  </si>
  <si>
    <t>COJOCARIU, ANDREEA MARIA</t>
  </si>
  <si>
    <t>PERIS FONS, DANA</t>
  </si>
  <si>
    <t>COLL-VINENT OLLE, MAR</t>
  </si>
  <si>
    <t>GONZALEZ GONZALEZ, PAULA</t>
  </si>
  <si>
    <t>VAQUERO MARTINEZ, DANIELA</t>
  </si>
  <si>
    <t>PEREDO LOPEZ, ANA ROSA</t>
  </si>
  <si>
    <t>MORENO HURTADO, BEATRIZ</t>
  </si>
  <si>
    <t>MARTINEZ GALLEGO, CLAUDIA</t>
  </si>
  <si>
    <t>GOMEZ COBO, NURIA</t>
  </si>
  <si>
    <t>GAMEZ MARTINEZ, MARTA</t>
  </si>
  <si>
    <t>CORREA VILLALONA, MELISA</t>
  </si>
  <si>
    <t>MARTINEZ SANZ, BEATRIZ</t>
  </si>
  <si>
    <t>RODRÍGUEZ BAZAGA, BÁRBARA</t>
  </si>
  <si>
    <t>ABUBAKAR ARREY, ELIZABETH</t>
  </si>
  <si>
    <t>JIMENEZ VIZCAINO, ANGELA MARIA</t>
  </si>
  <si>
    <t>JENG, NERAMOU</t>
  </si>
  <si>
    <t>COMELLA PONS, PILAR</t>
  </si>
  <si>
    <t>PEREGRINA GARCIA, ANDREA</t>
  </si>
  <si>
    <t>CONDOM ROSELL, HELENA</t>
  </si>
  <si>
    <t>LÓPEZ MARTÍ, MARTA</t>
  </si>
  <si>
    <t>REAL CERDA, AINA</t>
  </si>
  <si>
    <t>GARCÍA RIVERA, LAURA</t>
  </si>
  <si>
    <t>SANS CANTALLOPS, PAULA</t>
  </si>
  <si>
    <t>STENTA, LUCIA</t>
  </si>
  <si>
    <t>RIBEIRO DOS SANTOS BERNARDECO, CAROLINA</t>
  </si>
  <si>
    <t>ESCORIAL FERRERO, GABRIELA</t>
  </si>
  <si>
    <t>DEL AMO SEVILLANO, CLAUDIA</t>
  </si>
  <si>
    <t>BERNARDO PEREZ, LAURA</t>
  </si>
  <si>
    <t>ARANDA FRAILE, MARTA</t>
  </si>
  <si>
    <t>SIFAOUI BUCERO, YASMINE</t>
  </si>
  <si>
    <t>VULOVIC, LENA</t>
  </si>
  <si>
    <t>IPO SERICHE-DOUGAN, NOHEMY</t>
  </si>
  <si>
    <t>MARTÍNEZ MORA, ARIANA</t>
  </si>
  <si>
    <t>MILIAUSKAITE, DOVILE</t>
  </si>
  <si>
    <t>CAMIÑA RODRIGUEZ, ISABEL</t>
  </si>
  <si>
    <t>AJISEBUTU CASAS, ZOE OSAGIE</t>
  </si>
  <si>
    <t>CINTAS DIAZ, MARIA</t>
  </si>
  <si>
    <t>GARCIA DOMINGUEZ, DANIELA</t>
  </si>
  <si>
    <t>CORDÓN ELIZARÁN, NEREA - IZASKUN</t>
  </si>
  <si>
    <t>GARCIA FERNANDEZ, IRENE</t>
  </si>
  <si>
    <t>NDE AKAWUNG, SHAILA</t>
  </si>
  <si>
    <t>CARBÓ MEDINA, MARIA ENRIQUETA</t>
  </si>
  <si>
    <t>OKAFOR OFOEGBU, SOMTOCHUKWU BLESSED</t>
  </si>
  <si>
    <t>FERNANDEZ DE CUEVAS MARTINEZ, SARA</t>
  </si>
  <si>
    <t>ASENSIO SENOSIÁIN, BEATRIZ</t>
  </si>
  <si>
    <t>SMYKOVSKAIA, ANNA</t>
  </si>
  <si>
    <t>PAIRO URTOS, JANINA</t>
  </si>
  <si>
    <t>CARBO CACHINERO, MAR</t>
  </si>
  <si>
    <t>MELERO BRAVO, MARINA</t>
  </si>
  <si>
    <t>BAGARIA ROVIRA, NURIA</t>
  </si>
  <si>
    <t>MORENTE LOPEZ, CLAUDIA</t>
  </si>
  <si>
    <t>TALASIMOV, AGUSTINA</t>
  </si>
  <si>
    <t>GONZALEZ OLAIZOLA, VANESSA</t>
  </si>
  <si>
    <t>COMA PERPIÑA, ALBA</t>
  </si>
  <si>
    <t>FERNANDEZ PINSACH, JULIA</t>
  </si>
  <si>
    <t>CALVET SANDEZ, RUT</t>
  </si>
  <si>
    <t>RYZINSKA, DARIA</t>
  </si>
  <si>
    <t>ROJAS CEPERO, CECILIA</t>
  </si>
  <si>
    <t>VILLANUEVA LAZARO, CARMEN</t>
  </si>
  <si>
    <t>REVUELTAS PAREJA, ROSA</t>
  </si>
  <si>
    <t>SCHLEGL, ODETT</t>
  </si>
  <si>
    <t>SANCHEZ VALENZUELA, MARIA</t>
  </si>
  <si>
    <t>FERNANDEZ FIEL, LAURA MARIA</t>
  </si>
  <si>
    <t>DIAZ TORRES, MARIA ARRIETA</t>
  </si>
  <si>
    <t>GARCIA GARRIDO, MARIA DEL MAR</t>
  </si>
  <si>
    <t>SENE, THIORO</t>
  </si>
  <si>
    <t>SERRANO ALVAREZ, INES</t>
  </si>
  <si>
    <t>AFONSO GONZALEZ, SOFIA</t>
  </si>
  <si>
    <t>SARRIO ASENSIO, JULIA</t>
  </si>
  <si>
    <t>ROCHINA TRONCOSO, JUDIT</t>
  </si>
  <si>
    <t>GARCIA GARCIA, PAULA</t>
  </si>
  <si>
    <t>LIERN RUIZ, LUNA</t>
  </si>
  <si>
    <t>CUELLAR BAYARRI, MARTA</t>
  </si>
  <si>
    <t>CASES REY, EVA</t>
  </si>
  <si>
    <t>IRANZO GUTIERREZ, ESTHER</t>
  </si>
  <si>
    <t>TOLEDO NAVARRO, TAMARA</t>
  </si>
  <si>
    <t>GARRIDO PEREZ, IRENE</t>
  </si>
  <si>
    <t>TURRION ARANDA, JUDITH</t>
  </si>
  <si>
    <t>CURTO GARCIA, PAULA</t>
  </si>
  <si>
    <t>SOLER RAMOS, NEREA</t>
  </si>
  <si>
    <t>TORNE LABARTA, ABRIL</t>
  </si>
  <si>
    <t>SANCHEZ GARCIA, LARA</t>
  </si>
  <si>
    <t>RIBERA SANUY, MAR</t>
  </si>
  <si>
    <t>UBIA LLUNELL, QUERALT</t>
  </si>
  <si>
    <t>SANCHEZ MARQUES, NOA</t>
  </si>
  <si>
    <t>TORREÑO JIMENEZ, JULIA</t>
  </si>
  <si>
    <t>ANDUCAS RODON, LAIA</t>
  </si>
  <si>
    <t>LOZANO SOSA, ELENA</t>
  </si>
  <si>
    <t>GARCIA GONZALEZ, YAIZA</t>
  </si>
  <si>
    <t>DRAKE RUIZ-VILLAR, IRANZU</t>
  </si>
  <si>
    <t>HISADO SANTOS, SIRA</t>
  </si>
  <si>
    <t>MATEO CAÑADA, CAROLINA</t>
  </si>
  <si>
    <t>SNORRADOTTIR, BIRGIT OSK</t>
  </si>
  <si>
    <t>MARINHO JUNQUEIRA, MARGARIDA</t>
  </si>
  <si>
    <t>ZABALA GABILONDO, NAROA</t>
  </si>
  <si>
    <t>PEREZ CASTRO, LOURDES</t>
  </si>
  <si>
    <t>HERNANDEZ MARTINEZ, ANDREA</t>
  </si>
  <si>
    <t>DENIZ AGULLO, ANA</t>
  </si>
  <si>
    <t>MBENGUE SÁNCHEZ, AISHA</t>
  </si>
  <si>
    <t>OCURTO MENDES, MAYTE ELIZMA</t>
  </si>
  <si>
    <t>OJEDA BERNAL, CARLA</t>
  </si>
  <si>
    <t>RODRÍGUEZ SÁNCHEZ, MIRANDA DEL MAR</t>
  </si>
  <si>
    <t>EZEANATOGU EZEONU, TRINITY MESOMACHUKWU</t>
  </si>
  <si>
    <t>ARMENGOL VALL, BELEN</t>
  </si>
  <si>
    <t>GONZALEZ SOTO, TANIA</t>
  </si>
  <si>
    <t>BLANCO GUITIAN, SILVIA</t>
  </si>
  <si>
    <t>BAUTISTA VILLAVERDE, INMACULADA</t>
  </si>
  <si>
    <t>MOTEKAITYTÈ, ELZÈ</t>
  </si>
  <si>
    <t>COLOM ELOSÚA, MARINA</t>
  </si>
  <si>
    <t>VULOVIC, MARTA</t>
  </si>
  <si>
    <t>ROSALES ELEJABEITA, MARÍA</t>
  </si>
  <si>
    <t>CARBALLO DIAZ, MARTA</t>
  </si>
  <si>
    <t>CUNILL PEÑA, NURIA</t>
  </si>
  <si>
    <t>GLOMAZIC, ANDREA</t>
  </si>
  <si>
    <t>PÉREZ CASTRO, MARTA</t>
  </si>
  <si>
    <t>MICHEL, VICTORIA</t>
  </si>
  <si>
    <t>NAVAS CASTRO, LUCIA</t>
  </si>
  <si>
    <t>FERNANDEZ ORAA, ANA</t>
  </si>
  <si>
    <t>ROMERO GARRIDO, MARÍA</t>
  </si>
  <si>
    <t>LAURENSON CHEYNEL, PAULINE</t>
  </si>
  <si>
    <t>LOPEZ CUESTA, GUADALUPE</t>
  </si>
  <si>
    <t>LAZARO HERNANDEZ, CRISTINA</t>
  </si>
  <si>
    <t>inf</t>
  </si>
  <si>
    <t>% T2 jug/equip</t>
  </si>
  <si>
    <t>% T3 jug/equip</t>
  </si>
  <si>
    <t>% TC jug/equip</t>
  </si>
  <si>
    <t xml:space="preserve"> </t>
  </si>
  <si>
    <t>MITJANA JORNADA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</si>
</sst>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rgb="FF92D050"/>
      <name val="Calibri"/>
      <family val="2"/>
      <scheme val="minor"/>
    </font>
    <font>
      <sz val="16"/>
      <color rgb="FFFFC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0" fontId="0" fillId="0" borderId="0" xfId="1" applyNumberFormat="1" applyFont="1"/>
    <xf numFmtId="0" fontId="1" fillId="0" borderId="2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4" fontId="4" fillId="0" borderId="0" xfId="0" applyNumberFormat="1" applyFont="1"/>
    <xf numFmtId="0" fontId="8" fillId="0" borderId="0" xfId="0" applyFont="1"/>
    <xf numFmtId="0" fontId="9" fillId="0" borderId="1" xfId="0" applyFont="1" applyBorder="1" applyAlignment="1">
      <alignment horizontal="center" vertical="top"/>
    </xf>
    <xf numFmtId="0" fontId="10" fillId="0" borderId="0" xfId="0" applyFont="1"/>
    <xf numFmtId="10" fontId="10" fillId="0" borderId="0" xfId="1" applyNumberFormat="1" applyFon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10" fontId="0" fillId="2" borderId="0" xfId="1" applyNumberFormat="1" applyFont="1" applyFill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57"/>
  <sheetViews>
    <sheetView tabSelected="1" zoomScale="115" zoomScaleNormal="115" workbookViewId="0">
      <selection activeCell="B1" sqref="B1:B1048576"/>
    </sheetView>
  </sheetViews>
  <sheetFormatPr baseColWidth="10" defaultColWidth="9.140625" defaultRowHeight="15" x14ac:dyDescent="0.25"/>
  <cols>
    <col min="1" max="1" width="5.85546875" customWidth="1"/>
    <col min="2" max="2" width="23.85546875" customWidth="1"/>
    <col min="3" max="3" width="5.7109375" customWidth="1"/>
    <col min="4" max="4" width="28.7109375" hidden="1" customWidth="1"/>
    <col min="5" max="8" width="9.140625" hidden="1" customWidth="1"/>
    <col min="9" max="10" width="9.140625" customWidth="1"/>
    <col min="11" max="11" width="32.28515625" customWidth="1"/>
    <col min="12" max="38" width="9.140625" customWidth="1"/>
    <col min="39" max="39" width="9.5703125" customWidth="1"/>
    <col min="40" max="40" width="10.85546875" customWidth="1"/>
    <col min="41" max="41" width="9.140625" customWidth="1"/>
    <col min="43" max="43" width="9.140625" customWidth="1"/>
  </cols>
  <sheetData>
    <row r="1" spans="1:4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4" t="s">
        <v>209</v>
      </c>
      <c r="AV1" s="4" t="s">
        <v>210</v>
      </c>
      <c r="AW1" s="4" t="s">
        <v>211</v>
      </c>
    </row>
    <row r="2" spans="1:49" x14ac:dyDescent="0.25">
      <c r="A2" s="1">
        <v>0</v>
      </c>
      <c r="B2" t="s">
        <v>45</v>
      </c>
      <c r="C2">
        <v>1</v>
      </c>
      <c r="D2" t="s">
        <v>46</v>
      </c>
      <c r="E2" t="s">
        <v>59</v>
      </c>
      <c r="F2" t="s">
        <v>60</v>
      </c>
      <c r="G2" t="s">
        <v>64</v>
      </c>
      <c r="H2">
        <v>1</v>
      </c>
      <c r="I2">
        <v>0</v>
      </c>
      <c r="J2">
        <v>5</v>
      </c>
      <c r="K2" t="s">
        <v>66</v>
      </c>
      <c r="L2">
        <v>19.283333333333331</v>
      </c>
      <c r="M2">
        <v>9</v>
      </c>
      <c r="N2">
        <v>3</v>
      </c>
      <c r="O2">
        <v>3</v>
      </c>
      <c r="P2">
        <v>100</v>
      </c>
      <c r="Q2">
        <v>1</v>
      </c>
      <c r="R2">
        <v>5</v>
      </c>
      <c r="S2">
        <v>20</v>
      </c>
      <c r="T2">
        <v>4</v>
      </c>
      <c r="U2">
        <v>8</v>
      </c>
      <c r="V2">
        <v>50</v>
      </c>
      <c r="W2">
        <v>0</v>
      </c>
      <c r="X2">
        <v>0</v>
      </c>
      <c r="Y2">
        <v>0</v>
      </c>
      <c r="Z2">
        <v>0</v>
      </c>
      <c r="AA2">
        <v>2</v>
      </c>
      <c r="AB2">
        <v>2</v>
      </c>
      <c r="AC2">
        <v>0</v>
      </c>
      <c r="AD2">
        <v>0</v>
      </c>
      <c r="AE2">
        <v>2</v>
      </c>
      <c r="AF2">
        <v>0</v>
      </c>
      <c r="AG2">
        <v>0</v>
      </c>
      <c r="AH2">
        <v>0</v>
      </c>
      <c r="AI2">
        <v>3</v>
      </c>
      <c r="AJ2">
        <v>0</v>
      </c>
      <c r="AK2">
        <v>2</v>
      </c>
      <c r="AL2">
        <v>-4</v>
      </c>
      <c r="AM2">
        <v>10</v>
      </c>
      <c r="AN2">
        <v>0.51858254105445112</v>
      </c>
      <c r="AO2">
        <v>56.25</v>
      </c>
      <c r="AP2">
        <v>20</v>
      </c>
      <c r="AQ2">
        <v>0</v>
      </c>
      <c r="AR2">
        <v>37.5</v>
      </c>
      <c r="AS2">
        <v>62.5</v>
      </c>
      <c r="AT2">
        <v>0</v>
      </c>
    </row>
    <row r="3" spans="1:49" x14ac:dyDescent="0.25">
      <c r="A3" s="1">
        <v>1</v>
      </c>
      <c r="B3" t="s">
        <v>45</v>
      </c>
      <c r="C3">
        <v>1</v>
      </c>
      <c r="D3" t="s">
        <v>46</v>
      </c>
      <c r="E3" t="s">
        <v>59</v>
      </c>
      <c r="F3" t="s">
        <v>60</v>
      </c>
      <c r="G3" t="s">
        <v>64</v>
      </c>
      <c r="H3">
        <v>1</v>
      </c>
      <c r="I3">
        <v>1</v>
      </c>
      <c r="J3">
        <v>6</v>
      </c>
      <c r="K3" t="s">
        <v>67</v>
      </c>
      <c r="L3">
        <v>14.71666666666667</v>
      </c>
      <c r="M3">
        <v>0</v>
      </c>
      <c r="N3">
        <v>0</v>
      </c>
      <c r="O3">
        <v>1</v>
      </c>
      <c r="P3">
        <v>0</v>
      </c>
      <c r="Q3">
        <v>0</v>
      </c>
      <c r="R3">
        <v>3</v>
      </c>
      <c r="S3">
        <v>0</v>
      </c>
      <c r="T3">
        <v>0</v>
      </c>
      <c r="U3">
        <v>4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1</v>
      </c>
      <c r="AC3">
        <v>5</v>
      </c>
      <c r="AD3">
        <v>0</v>
      </c>
      <c r="AE3">
        <v>4</v>
      </c>
      <c r="AF3">
        <v>0</v>
      </c>
      <c r="AG3">
        <v>0</v>
      </c>
      <c r="AH3">
        <v>0</v>
      </c>
      <c r="AI3">
        <v>1</v>
      </c>
      <c r="AJ3">
        <v>1</v>
      </c>
      <c r="AK3">
        <v>-2</v>
      </c>
      <c r="AL3">
        <v>8</v>
      </c>
      <c r="AM3">
        <v>8</v>
      </c>
      <c r="AN3">
        <v>0.54360135900339746</v>
      </c>
      <c r="AO3">
        <v>0</v>
      </c>
      <c r="AP3">
        <v>50</v>
      </c>
      <c r="AQ3">
        <v>0</v>
      </c>
      <c r="AR3">
        <v>25</v>
      </c>
      <c r="AS3">
        <v>75</v>
      </c>
      <c r="AT3">
        <v>0</v>
      </c>
    </row>
    <row r="4" spans="1:49" x14ac:dyDescent="0.25">
      <c r="A4" s="1">
        <v>2</v>
      </c>
      <c r="B4" t="s">
        <v>45</v>
      </c>
      <c r="C4">
        <v>1</v>
      </c>
      <c r="D4" t="s">
        <v>46</v>
      </c>
      <c r="E4" t="s">
        <v>59</v>
      </c>
      <c r="F4" t="s">
        <v>60</v>
      </c>
      <c r="G4" t="s">
        <v>64</v>
      </c>
      <c r="H4">
        <v>1</v>
      </c>
      <c r="I4">
        <v>1</v>
      </c>
      <c r="J4">
        <v>8</v>
      </c>
      <c r="K4" t="s">
        <v>68</v>
      </c>
      <c r="L4">
        <v>29.45</v>
      </c>
      <c r="M4">
        <v>13</v>
      </c>
      <c r="N4">
        <v>5</v>
      </c>
      <c r="O4">
        <v>7</v>
      </c>
      <c r="P4">
        <v>71.400000000000006</v>
      </c>
      <c r="Q4">
        <v>0</v>
      </c>
      <c r="R4">
        <v>1</v>
      </c>
      <c r="S4">
        <v>0</v>
      </c>
      <c r="T4">
        <v>5</v>
      </c>
      <c r="U4">
        <v>8</v>
      </c>
      <c r="V4">
        <v>62.5</v>
      </c>
      <c r="W4">
        <v>3</v>
      </c>
      <c r="X4">
        <v>8</v>
      </c>
      <c r="Y4">
        <v>37.5</v>
      </c>
      <c r="Z4">
        <v>5</v>
      </c>
      <c r="AA4">
        <v>5</v>
      </c>
      <c r="AB4">
        <v>10</v>
      </c>
      <c r="AC4">
        <v>2</v>
      </c>
      <c r="AD4">
        <v>0</v>
      </c>
      <c r="AE4">
        <v>3</v>
      </c>
      <c r="AF4">
        <v>0</v>
      </c>
      <c r="AG4">
        <v>0</v>
      </c>
      <c r="AH4">
        <v>0</v>
      </c>
      <c r="AI4">
        <v>3</v>
      </c>
      <c r="AJ4">
        <v>8</v>
      </c>
      <c r="AK4">
        <v>19</v>
      </c>
      <c r="AL4">
        <v>20</v>
      </c>
      <c r="AM4">
        <v>14.52</v>
      </c>
      <c r="AN4">
        <v>0.49303904923599318</v>
      </c>
      <c r="AO4">
        <v>56.42</v>
      </c>
      <c r="AP4">
        <v>20.66</v>
      </c>
      <c r="AQ4">
        <v>0.375</v>
      </c>
      <c r="AR4">
        <v>60.76</v>
      </c>
      <c r="AS4">
        <v>8.68</v>
      </c>
      <c r="AT4">
        <v>30.56</v>
      </c>
    </row>
    <row r="5" spans="1:49" x14ac:dyDescent="0.25">
      <c r="A5" s="1">
        <v>3</v>
      </c>
      <c r="B5" t="s">
        <v>45</v>
      </c>
      <c r="C5">
        <v>1</v>
      </c>
      <c r="D5" t="s">
        <v>46</v>
      </c>
      <c r="E5" t="s">
        <v>59</v>
      </c>
      <c r="F5" t="s">
        <v>60</v>
      </c>
      <c r="G5" t="s">
        <v>64</v>
      </c>
      <c r="H5">
        <v>1</v>
      </c>
      <c r="I5">
        <v>0</v>
      </c>
      <c r="J5">
        <v>10</v>
      </c>
      <c r="K5" t="s">
        <v>69</v>
      </c>
      <c r="L5">
        <v>15.15</v>
      </c>
      <c r="M5">
        <v>5</v>
      </c>
      <c r="N5">
        <v>1</v>
      </c>
      <c r="O5">
        <v>2</v>
      </c>
      <c r="P5">
        <v>50</v>
      </c>
      <c r="Q5">
        <v>1</v>
      </c>
      <c r="R5">
        <v>3</v>
      </c>
      <c r="S5">
        <v>33.299999999999997</v>
      </c>
      <c r="T5">
        <v>2</v>
      </c>
      <c r="U5">
        <v>5</v>
      </c>
      <c r="V5">
        <v>40</v>
      </c>
      <c r="W5">
        <v>0</v>
      </c>
      <c r="X5">
        <v>0</v>
      </c>
      <c r="Y5">
        <v>0</v>
      </c>
      <c r="Z5">
        <v>2</v>
      </c>
      <c r="AA5">
        <v>0</v>
      </c>
      <c r="AB5">
        <v>2</v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v>2</v>
      </c>
      <c r="AJ5">
        <v>1</v>
      </c>
      <c r="AK5">
        <v>3</v>
      </c>
      <c r="AL5">
        <v>-7</v>
      </c>
      <c r="AM5">
        <v>5</v>
      </c>
      <c r="AN5">
        <v>0.33003300330032997</v>
      </c>
      <c r="AO5">
        <v>50</v>
      </c>
      <c r="AP5">
        <v>0</v>
      </c>
      <c r="AQ5">
        <v>0</v>
      </c>
      <c r="AR5">
        <v>40</v>
      </c>
      <c r="AS5">
        <v>60</v>
      </c>
      <c r="AT5">
        <v>0</v>
      </c>
    </row>
    <row r="6" spans="1:49" x14ac:dyDescent="0.25">
      <c r="A6" s="1">
        <v>4</v>
      </c>
      <c r="B6" t="s">
        <v>45</v>
      </c>
      <c r="C6">
        <v>1</v>
      </c>
      <c r="D6" t="s">
        <v>46</v>
      </c>
      <c r="E6" t="s">
        <v>59</v>
      </c>
      <c r="F6" t="s">
        <v>60</v>
      </c>
      <c r="G6" t="s">
        <v>64</v>
      </c>
      <c r="H6">
        <v>1</v>
      </c>
      <c r="I6">
        <v>1</v>
      </c>
      <c r="J6">
        <v>13</v>
      </c>
      <c r="K6" t="s">
        <v>70</v>
      </c>
      <c r="L6">
        <v>22.75</v>
      </c>
      <c r="M6">
        <v>3</v>
      </c>
      <c r="N6">
        <v>0</v>
      </c>
      <c r="O6">
        <v>0</v>
      </c>
      <c r="P6">
        <v>0</v>
      </c>
      <c r="Q6">
        <v>1</v>
      </c>
      <c r="R6">
        <v>4</v>
      </c>
      <c r="S6">
        <v>25</v>
      </c>
      <c r="T6">
        <v>1</v>
      </c>
      <c r="U6">
        <v>4</v>
      </c>
      <c r="V6">
        <v>25</v>
      </c>
      <c r="W6">
        <v>0</v>
      </c>
      <c r="X6">
        <v>0</v>
      </c>
      <c r="Y6">
        <v>0</v>
      </c>
      <c r="Z6">
        <v>0</v>
      </c>
      <c r="AA6">
        <v>2</v>
      </c>
      <c r="AB6">
        <v>2</v>
      </c>
      <c r="AC6">
        <v>3</v>
      </c>
      <c r="AD6">
        <v>0</v>
      </c>
      <c r="AE6">
        <v>3</v>
      </c>
      <c r="AF6">
        <v>0</v>
      </c>
      <c r="AG6">
        <v>0</v>
      </c>
      <c r="AH6">
        <v>0</v>
      </c>
      <c r="AI6">
        <v>2</v>
      </c>
      <c r="AJ6">
        <v>0</v>
      </c>
      <c r="AK6">
        <v>0</v>
      </c>
      <c r="AL6">
        <v>12</v>
      </c>
      <c r="AM6">
        <v>7</v>
      </c>
      <c r="AN6">
        <v>0.30769230769230771</v>
      </c>
      <c r="AO6">
        <v>37.5</v>
      </c>
      <c r="AP6">
        <v>42.86</v>
      </c>
      <c r="AQ6">
        <v>0</v>
      </c>
      <c r="AR6">
        <v>0</v>
      </c>
      <c r="AS6">
        <v>100</v>
      </c>
      <c r="AT6">
        <v>0</v>
      </c>
    </row>
    <row r="7" spans="1:49" x14ac:dyDescent="0.25">
      <c r="A7" s="1">
        <v>5</v>
      </c>
      <c r="B7" t="s">
        <v>45</v>
      </c>
      <c r="C7">
        <v>1</v>
      </c>
      <c r="D7" t="s">
        <v>46</v>
      </c>
      <c r="E7" t="s">
        <v>59</v>
      </c>
      <c r="F7" t="s">
        <v>60</v>
      </c>
      <c r="G7" t="s">
        <v>64</v>
      </c>
      <c r="H7">
        <v>1</v>
      </c>
      <c r="I7">
        <v>1</v>
      </c>
      <c r="J7">
        <v>14</v>
      </c>
      <c r="K7" t="s">
        <v>71</v>
      </c>
      <c r="L7">
        <v>21.866666666666671</v>
      </c>
      <c r="M7">
        <v>9</v>
      </c>
      <c r="N7">
        <v>3</v>
      </c>
      <c r="O7">
        <v>6</v>
      </c>
      <c r="P7">
        <v>50</v>
      </c>
      <c r="Q7">
        <v>0</v>
      </c>
      <c r="R7">
        <v>1</v>
      </c>
      <c r="S7">
        <v>0</v>
      </c>
      <c r="T7">
        <v>3</v>
      </c>
      <c r="U7">
        <v>7</v>
      </c>
      <c r="V7">
        <v>42.9</v>
      </c>
      <c r="W7">
        <v>3</v>
      </c>
      <c r="X7">
        <v>4</v>
      </c>
      <c r="Y7">
        <v>75</v>
      </c>
      <c r="Z7">
        <v>3</v>
      </c>
      <c r="AA7">
        <v>6</v>
      </c>
      <c r="AB7">
        <v>9</v>
      </c>
      <c r="AC7">
        <v>2</v>
      </c>
      <c r="AD7">
        <v>0</v>
      </c>
      <c r="AE7">
        <v>2</v>
      </c>
      <c r="AF7">
        <v>1</v>
      </c>
      <c r="AG7">
        <v>0</v>
      </c>
      <c r="AH7">
        <v>0</v>
      </c>
      <c r="AI7">
        <v>2</v>
      </c>
      <c r="AJ7">
        <v>2</v>
      </c>
      <c r="AK7">
        <v>14</v>
      </c>
      <c r="AL7">
        <v>10</v>
      </c>
      <c r="AM7">
        <v>10.76</v>
      </c>
      <c r="AN7">
        <v>0.49207317073170731</v>
      </c>
      <c r="AO7">
        <v>51.37</v>
      </c>
      <c r="AP7">
        <v>18.59</v>
      </c>
      <c r="AQ7">
        <v>0.42857142857142849</v>
      </c>
      <c r="AR7">
        <v>68.489999999999995</v>
      </c>
      <c r="AS7">
        <v>11.42</v>
      </c>
      <c r="AT7">
        <v>20.09</v>
      </c>
    </row>
    <row r="8" spans="1:49" x14ac:dyDescent="0.25">
      <c r="A8" s="1">
        <v>6</v>
      </c>
      <c r="B8" t="s">
        <v>45</v>
      </c>
      <c r="C8">
        <v>1</v>
      </c>
      <c r="D8" t="s">
        <v>46</v>
      </c>
      <c r="E8" t="s">
        <v>59</v>
      </c>
      <c r="F8" t="s">
        <v>60</v>
      </c>
      <c r="G8" t="s">
        <v>64</v>
      </c>
      <c r="H8">
        <v>1</v>
      </c>
      <c r="I8">
        <v>0</v>
      </c>
      <c r="J8">
        <v>16</v>
      </c>
      <c r="K8" t="s">
        <v>72</v>
      </c>
      <c r="L8">
        <v>0.76666666666666672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2</v>
      </c>
      <c r="AJ8">
        <v>0</v>
      </c>
      <c r="AK8">
        <v>-2</v>
      </c>
      <c r="AL8">
        <v>-2</v>
      </c>
      <c r="AM8">
        <v>0</v>
      </c>
      <c r="AN8">
        <v>0</v>
      </c>
      <c r="AR8">
        <v>0</v>
      </c>
      <c r="AS8">
        <v>0</v>
      </c>
      <c r="AT8">
        <v>0</v>
      </c>
    </row>
    <row r="9" spans="1:49" x14ac:dyDescent="0.25">
      <c r="A9" s="1">
        <v>7</v>
      </c>
      <c r="B9" t="s">
        <v>45</v>
      </c>
      <c r="C9">
        <v>1</v>
      </c>
      <c r="D9" t="s">
        <v>46</v>
      </c>
      <c r="E9" t="s">
        <v>59</v>
      </c>
      <c r="F9" t="s">
        <v>60</v>
      </c>
      <c r="G9" t="s">
        <v>64</v>
      </c>
      <c r="H9">
        <v>1</v>
      </c>
      <c r="I9">
        <v>0</v>
      </c>
      <c r="J9">
        <v>22</v>
      </c>
      <c r="K9" t="s">
        <v>73</v>
      </c>
      <c r="L9">
        <v>22.116666666666671</v>
      </c>
      <c r="M9">
        <v>6</v>
      </c>
      <c r="N9">
        <v>0</v>
      </c>
      <c r="O9">
        <v>2</v>
      </c>
      <c r="P9">
        <v>0</v>
      </c>
      <c r="Q9">
        <v>1</v>
      </c>
      <c r="R9">
        <v>1</v>
      </c>
      <c r="S9">
        <v>100</v>
      </c>
      <c r="T9">
        <v>1</v>
      </c>
      <c r="U9">
        <v>3</v>
      </c>
      <c r="V9">
        <v>33.299999999999997</v>
      </c>
      <c r="W9">
        <v>3</v>
      </c>
      <c r="X9">
        <v>4</v>
      </c>
      <c r="Y9">
        <v>75</v>
      </c>
      <c r="Z9">
        <v>1</v>
      </c>
      <c r="AA9">
        <v>5</v>
      </c>
      <c r="AB9">
        <v>6</v>
      </c>
      <c r="AC9">
        <v>0</v>
      </c>
      <c r="AD9">
        <v>0</v>
      </c>
      <c r="AE9">
        <v>1</v>
      </c>
      <c r="AF9">
        <v>0</v>
      </c>
      <c r="AG9">
        <v>1</v>
      </c>
      <c r="AH9">
        <v>0</v>
      </c>
      <c r="AI9">
        <v>4</v>
      </c>
      <c r="AJ9">
        <v>4</v>
      </c>
      <c r="AK9">
        <v>8</v>
      </c>
      <c r="AL9">
        <v>1</v>
      </c>
      <c r="AM9">
        <v>5.76</v>
      </c>
      <c r="AN9">
        <v>0.26043707611152977</v>
      </c>
      <c r="AO9">
        <v>63.03</v>
      </c>
      <c r="AP9">
        <v>17.36</v>
      </c>
      <c r="AQ9">
        <v>1</v>
      </c>
      <c r="AR9">
        <v>42.02</v>
      </c>
      <c r="AS9">
        <v>21.01</v>
      </c>
      <c r="AT9">
        <v>36.97</v>
      </c>
    </row>
    <row r="10" spans="1:49" x14ac:dyDescent="0.25">
      <c r="A10" s="1">
        <v>8</v>
      </c>
      <c r="B10" t="s">
        <v>45</v>
      </c>
      <c r="C10">
        <v>1</v>
      </c>
      <c r="D10" t="s">
        <v>46</v>
      </c>
      <c r="E10" t="s">
        <v>59</v>
      </c>
      <c r="F10" t="s">
        <v>60</v>
      </c>
      <c r="G10" t="s">
        <v>64</v>
      </c>
      <c r="H10">
        <v>1</v>
      </c>
      <c r="I10">
        <v>1</v>
      </c>
      <c r="J10">
        <v>23</v>
      </c>
      <c r="K10" t="s">
        <v>74</v>
      </c>
      <c r="L10">
        <v>24.366666666666671</v>
      </c>
      <c r="M10">
        <v>4</v>
      </c>
      <c r="N10">
        <v>1</v>
      </c>
      <c r="O10">
        <v>3</v>
      </c>
      <c r="P10">
        <v>33.299999999999997</v>
      </c>
      <c r="Q10">
        <v>0</v>
      </c>
      <c r="R10">
        <v>2</v>
      </c>
      <c r="S10">
        <v>0</v>
      </c>
      <c r="T10">
        <v>1</v>
      </c>
      <c r="U10">
        <v>5</v>
      </c>
      <c r="V10">
        <v>20</v>
      </c>
      <c r="W10">
        <v>2</v>
      </c>
      <c r="X10">
        <v>4</v>
      </c>
      <c r="Y10">
        <v>50</v>
      </c>
      <c r="Z10">
        <v>0</v>
      </c>
      <c r="AA10">
        <v>3</v>
      </c>
      <c r="AB10">
        <v>3</v>
      </c>
      <c r="AC10">
        <v>2</v>
      </c>
      <c r="AD10">
        <v>2</v>
      </c>
      <c r="AE10">
        <v>0</v>
      </c>
      <c r="AF10">
        <v>0</v>
      </c>
      <c r="AG10">
        <v>0</v>
      </c>
      <c r="AH10">
        <v>0</v>
      </c>
      <c r="AI10">
        <v>2</v>
      </c>
      <c r="AJ10">
        <v>2</v>
      </c>
      <c r="AK10">
        <v>5</v>
      </c>
      <c r="AL10">
        <v>16</v>
      </c>
      <c r="AM10">
        <v>6.76</v>
      </c>
      <c r="AN10">
        <v>0.27742818057455543</v>
      </c>
      <c r="AO10">
        <v>29.59</v>
      </c>
      <c r="AP10">
        <v>0</v>
      </c>
      <c r="AQ10">
        <v>0.4</v>
      </c>
      <c r="AR10">
        <v>44.38</v>
      </c>
      <c r="AS10">
        <v>29.59</v>
      </c>
      <c r="AT10">
        <v>26.04</v>
      </c>
    </row>
    <row r="11" spans="1:49" x14ac:dyDescent="0.25">
      <c r="A11" s="1">
        <v>9</v>
      </c>
      <c r="B11" t="s">
        <v>45</v>
      </c>
      <c r="C11">
        <v>1</v>
      </c>
      <c r="D11" t="s">
        <v>46</v>
      </c>
      <c r="E11" t="s">
        <v>59</v>
      </c>
      <c r="F11" t="s">
        <v>60</v>
      </c>
      <c r="G11" t="s">
        <v>64</v>
      </c>
      <c r="H11">
        <v>1</v>
      </c>
      <c r="I11">
        <v>0</v>
      </c>
      <c r="J11">
        <v>24</v>
      </c>
      <c r="K11" t="s">
        <v>75</v>
      </c>
      <c r="L11">
        <v>19.716666666666669</v>
      </c>
      <c r="M11">
        <v>7</v>
      </c>
      <c r="N11">
        <v>3</v>
      </c>
      <c r="O11">
        <v>10</v>
      </c>
      <c r="P11">
        <v>30</v>
      </c>
      <c r="Q11">
        <v>0</v>
      </c>
      <c r="R11">
        <v>0</v>
      </c>
      <c r="S11">
        <v>0</v>
      </c>
      <c r="T11">
        <v>3</v>
      </c>
      <c r="U11">
        <v>10</v>
      </c>
      <c r="V11">
        <v>30</v>
      </c>
      <c r="W11">
        <v>1</v>
      </c>
      <c r="X11">
        <v>3</v>
      </c>
      <c r="Y11">
        <v>33.299999999999997</v>
      </c>
      <c r="Z11">
        <v>0</v>
      </c>
      <c r="AA11">
        <v>6</v>
      </c>
      <c r="AB11">
        <v>6</v>
      </c>
      <c r="AC11">
        <v>0</v>
      </c>
      <c r="AD11">
        <v>3</v>
      </c>
      <c r="AE11">
        <v>1</v>
      </c>
      <c r="AF11">
        <v>0</v>
      </c>
      <c r="AG11">
        <v>1</v>
      </c>
      <c r="AH11">
        <v>0</v>
      </c>
      <c r="AI11">
        <v>3</v>
      </c>
      <c r="AJ11">
        <v>3</v>
      </c>
      <c r="AK11">
        <v>6</v>
      </c>
      <c r="AL11">
        <v>0</v>
      </c>
      <c r="AM11">
        <v>12.32</v>
      </c>
      <c r="AN11">
        <v>0.62485207100591722</v>
      </c>
      <c r="AO11">
        <v>30.92</v>
      </c>
      <c r="AP11">
        <v>8.1199999999999992</v>
      </c>
      <c r="AQ11">
        <v>0.1</v>
      </c>
      <c r="AR11">
        <v>88.34</v>
      </c>
      <c r="AS11">
        <v>0</v>
      </c>
      <c r="AT11">
        <v>11.66</v>
      </c>
    </row>
    <row r="12" spans="1:49" x14ac:dyDescent="0.25">
      <c r="A12" s="1">
        <v>10</v>
      </c>
      <c r="B12" t="s">
        <v>45</v>
      </c>
      <c r="C12">
        <v>1</v>
      </c>
      <c r="D12" t="s">
        <v>46</v>
      </c>
      <c r="E12" t="s">
        <v>59</v>
      </c>
      <c r="F12" t="s">
        <v>60</v>
      </c>
      <c r="G12" t="s">
        <v>64</v>
      </c>
      <c r="H12">
        <v>1</v>
      </c>
      <c r="I12">
        <v>0</v>
      </c>
      <c r="J12">
        <v>69</v>
      </c>
      <c r="K12" t="s">
        <v>76</v>
      </c>
      <c r="L12">
        <v>9.8166666666666664</v>
      </c>
      <c r="M12">
        <v>0</v>
      </c>
      <c r="N12">
        <v>0</v>
      </c>
      <c r="O12">
        <v>1</v>
      </c>
      <c r="P12">
        <v>0</v>
      </c>
      <c r="Q12">
        <v>0</v>
      </c>
      <c r="R12">
        <v>2</v>
      </c>
      <c r="S12">
        <v>0</v>
      </c>
      <c r="T12">
        <v>0</v>
      </c>
      <c r="U12">
        <v>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-4</v>
      </c>
      <c r="AL12">
        <v>-14</v>
      </c>
      <c r="AM12">
        <v>3</v>
      </c>
      <c r="AN12">
        <v>0.30560271646859077</v>
      </c>
      <c r="AO12">
        <v>0</v>
      </c>
      <c r="AP12">
        <v>0</v>
      </c>
      <c r="AQ12">
        <v>0</v>
      </c>
      <c r="AR12">
        <v>33.33</v>
      </c>
      <c r="AS12">
        <v>66.67</v>
      </c>
      <c r="AT12">
        <v>0</v>
      </c>
    </row>
    <row r="13" spans="1:49" x14ac:dyDescent="0.25">
      <c r="A13" s="1">
        <v>11</v>
      </c>
      <c r="B13" t="s">
        <v>45</v>
      </c>
      <c r="C13">
        <v>1</v>
      </c>
      <c r="D13" t="s">
        <v>46</v>
      </c>
      <c r="E13" t="s">
        <v>59</v>
      </c>
      <c r="F13" t="s">
        <v>60</v>
      </c>
      <c r="G13" t="s">
        <v>64</v>
      </c>
      <c r="H13">
        <v>1</v>
      </c>
      <c r="I13">
        <v>0</v>
      </c>
      <c r="K13" t="s">
        <v>77</v>
      </c>
      <c r="L13">
        <v>200</v>
      </c>
      <c r="M13">
        <v>56</v>
      </c>
      <c r="N13">
        <v>16</v>
      </c>
      <c r="O13">
        <v>35</v>
      </c>
      <c r="P13">
        <v>45.7</v>
      </c>
      <c r="Q13">
        <v>4</v>
      </c>
      <c r="R13">
        <v>22</v>
      </c>
      <c r="S13">
        <v>18.2</v>
      </c>
      <c r="T13">
        <v>20</v>
      </c>
      <c r="U13">
        <v>57</v>
      </c>
      <c r="V13">
        <v>35.1</v>
      </c>
      <c r="W13">
        <v>12</v>
      </c>
      <c r="X13">
        <v>23</v>
      </c>
      <c r="Y13">
        <v>52.2</v>
      </c>
      <c r="Z13">
        <v>11</v>
      </c>
      <c r="AA13">
        <v>30</v>
      </c>
      <c r="AB13">
        <v>41</v>
      </c>
      <c r="AC13">
        <v>14</v>
      </c>
      <c r="AD13">
        <v>5</v>
      </c>
      <c r="AE13">
        <v>16</v>
      </c>
      <c r="AF13">
        <v>1</v>
      </c>
      <c r="AG13">
        <v>3</v>
      </c>
      <c r="AH13">
        <v>0</v>
      </c>
      <c r="AI13">
        <v>25</v>
      </c>
      <c r="AJ13">
        <v>21</v>
      </c>
      <c r="AK13">
        <v>49</v>
      </c>
      <c r="AM13">
        <v>83.12</v>
      </c>
      <c r="AN13">
        <v>0.41560000000000002</v>
      </c>
      <c r="AO13">
        <v>41.72</v>
      </c>
      <c r="AP13">
        <v>19.25</v>
      </c>
      <c r="AQ13">
        <v>0.2105263157894737</v>
      </c>
      <c r="AR13">
        <v>52.15</v>
      </c>
      <c r="AS13">
        <v>32.78</v>
      </c>
      <c r="AT13">
        <v>15.08</v>
      </c>
    </row>
    <row r="14" spans="1:49" x14ac:dyDescent="0.25">
      <c r="A14" s="1">
        <v>12</v>
      </c>
      <c r="B14" t="s">
        <v>46</v>
      </c>
      <c r="C14">
        <v>1</v>
      </c>
      <c r="D14" t="s">
        <v>45</v>
      </c>
      <c r="E14" t="s">
        <v>59</v>
      </c>
      <c r="F14" t="s">
        <v>60</v>
      </c>
      <c r="G14" t="s">
        <v>65</v>
      </c>
      <c r="H14">
        <v>0</v>
      </c>
      <c r="I14">
        <v>0</v>
      </c>
      <c r="J14">
        <v>1</v>
      </c>
      <c r="K14" t="s">
        <v>78</v>
      </c>
      <c r="L14">
        <v>2.2333333333333329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-2</v>
      </c>
      <c r="AM14">
        <v>0</v>
      </c>
      <c r="AN14" s="2">
        <v>0</v>
      </c>
      <c r="AR14">
        <v>0</v>
      </c>
      <c r="AS14">
        <v>0</v>
      </c>
      <c r="AT14">
        <v>0</v>
      </c>
      <c r="AU14" s="3">
        <f>O14/O$25</f>
        <v>0</v>
      </c>
      <c r="AV14" s="3">
        <f>R14/R$25</f>
        <v>0</v>
      </c>
      <c r="AW14" s="3">
        <f>U14/U$25</f>
        <v>0</v>
      </c>
    </row>
    <row r="15" spans="1:49" x14ac:dyDescent="0.25">
      <c r="A15" s="1">
        <v>13</v>
      </c>
      <c r="B15" t="s">
        <v>46</v>
      </c>
      <c r="C15">
        <v>1</v>
      </c>
      <c r="D15" t="s">
        <v>45</v>
      </c>
      <c r="E15" t="s">
        <v>59</v>
      </c>
      <c r="F15" t="s">
        <v>60</v>
      </c>
      <c r="G15" t="s">
        <v>65</v>
      </c>
      <c r="H15">
        <v>0</v>
      </c>
      <c r="I15">
        <v>0</v>
      </c>
      <c r="J15">
        <v>4</v>
      </c>
      <c r="K15" t="s">
        <v>79</v>
      </c>
      <c r="L15">
        <v>19.43333333333333</v>
      </c>
      <c r="M15">
        <v>5</v>
      </c>
      <c r="N15">
        <v>2</v>
      </c>
      <c r="O15">
        <v>3</v>
      </c>
      <c r="P15">
        <v>66.7</v>
      </c>
      <c r="Q15">
        <v>0</v>
      </c>
      <c r="R15">
        <v>2</v>
      </c>
      <c r="S15">
        <v>0</v>
      </c>
      <c r="T15">
        <v>2</v>
      </c>
      <c r="U15">
        <v>5</v>
      </c>
      <c r="V15">
        <v>40</v>
      </c>
      <c r="W15">
        <v>1</v>
      </c>
      <c r="X15">
        <v>2</v>
      </c>
      <c r="Y15">
        <v>50</v>
      </c>
      <c r="Z15">
        <v>2</v>
      </c>
      <c r="AA15">
        <v>0</v>
      </c>
      <c r="AB15">
        <v>2</v>
      </c>
      <c r="AC15">
        <v>0</v>
      </c>
      <c r="AD15">
        <v>1</v>
      </c>
      <c r="AE15">
        <v>1</v>
      </c>
      <c r="AF15">
        <v>0</v>
      </c>
      <c r="AG15">
        <v>0</v>
      </c>
      <c r="AH15">
        <v>0</v>
      </c>
      <c r="AI15">
        <v>3</v>
      </c>
      <c r="AJ15">
        <v>2</v>
      </c>
      <c r="AK15">
        <v>2</v>
      </c>
      <c r="AL15">
        <v>6</v>
      </c>
      <c r="AM15">
        <v>6.88</v>
      </c>
      <c r="AN15" s="2">
        <v>0.35403087478559181</v>
      </c>
      <c r="AO15">
        <v>42.52</v>
      </c>
      <c r="AP15">
        <v>14.53</v>
      </c>
      <c r="AQ15">
        <v>0.2</v>
      </c>
      <c r="AR15">
        <v>51.02</v>
      </c>
      <c r="AS15">
        <v>34.01</v>
      </c>
      <c r="AT15">
        <v>14.97</v>
      </c>
      <c r="AU15" s="3">
        <f>O15/O$25</f>
        <v>8.5714285714285715E-2</v>
      </c>
      <c r="AV15" s="3">
        <f t="shared" ref="AV15:AV25" si="0">R15/R$25</f>
        <v>0.10526315789473684</v>
      </c>
      <c r="AW15" s="3">
        <f t="shared" ref="AW15:AW25" si="1">U15/U$25</f>
        <v>9.2592592592592587E-2</v>
      </c>
    </row>
    <row r="16" spans="1:49" x14ac:dyDescent="0.25">
      <c r="A16" s="1">
        <v>14</v>
      </c>
      <c r="B16" t="s">
        <v>46</v>
      </c>
      <c r="C16">
        <v>1</v>
      </c>
      <c r="D16" t="s">
        <v>45</v>
      </c>
      <c r="E16" t="s">
        <v>59</v>
      </c>
      <c r="F16" t="s">
        <v>60</v>
      </c>
      <c r="G16" t="s">
        <v>65</v>
      </c>
      <c r="H16">
        <v>0</v>
      </c>
      <c r="I16">
        <v>0</v>
      </c>
      <c r="J16">
        <v>5</v>
      </c>
      <c r="K16" t="s">
        <v>80</v>
      </c>
      <c r="L16">
        <v>6</v>
      </c>
      <c r="M16">
        <v>0</v>
      </c>
      <c r="N16">
        <v>0</v>
      </c>
      <c r="O16">
        <v>1</v>
      </c>
      <c r="P16">
        <v>0</v>
      </c>
      <c r="Q16">
        <v>0</v>
      </c>
      <c r="R16">
        <v>1</v>
      </c>
      <c r="S16">
        <v>0</v>
      </c>
      <c r="T16">
        <v>0</v>
      </c>
      <c r="U16">
        <v>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2</v>
      </c>
      <c r="AE16">
        <v>1</v>
      </c>
      <c r="AF16">
        <v>0</v>
      </c>
      <c r="AG16">
        <v>0</v>
      </c>
      <c r="AH16">
        <v>0</v>
      </c>
      <c r="AI16">
        <v>4</v>
      </c>
      <c r="AJ16">
        <v>1</v>
      </c>
      <c r="AK16">
        <v>-4</v>
      </c>
      <c r="AL16">
        <v>-10</v>
      </c>
      <c r="AM16">
        <v>3</v>
      </c>
      <c r="AN16" s="2">
        <v>0.5</v>
      </c>
      <c r="AO16">
        <v>0</v>
      </c>
      <c r="AP16">
        <v>33.33</v>
      </c>
      <c r="AQ16">
        <v>0</v>
      </c>
      <c r="AR16">
        <v>50</v>
      </c>
      <c r="AS16">
        <v>50</v>
      </c>
      <c r="AT16">
        <v>0</v>
      </c>
      <c r="AU16" s="3">
        <f t="shared" ref="AU16:AU25" si="2">O16/O$25</f>
        <v>2.8571428571428571E-2</v>
      </c>
      <c r="AV16" s="3">
        <f t="shared" si="0"/>
        <v>5.2631578947368418E-2</v>
      </c>
      <c r="AW16" s="3">
        <f t="shared" si="1"/>
        <v>3.7037037037037035E-2</v>
      </c>
    </row>
    <row r="17" spans="1:49" x14ac:dyDescent="0.25">
      <c r="A17" s="1">
        <v>15</v>
      </c>
      <c r="B17" t="s">
        <v>46</v>
      </c>
      <c r="C17">
        <v>1</v>
      </c>
      <c r="D17" t="s">
        <v>45</v>
      </c>
      <c r="E17" t="s">
        <v>59</v>
      </c>
      <c r="F17" t="s">
        <v>60</v>
      </c>
      <c r="G17" t="s">
        <v>65</v>
      </c>
      <c r="H17">
        <v>0</v>
      </c>
      <c r="I17">
        <v>1</v>
      </c>
      <c r="J17">
        <v>7</v>
      </c>
      <c r="K17" t="s">
        <v>81</v>
      </c>
      <c r="L17">
        <v>26.266666666666669</v>
      </c>
      <c r="M17">
        <v>2</v>
      </c>
      <c r="N17">
        <v>0</v>
      </c>
      <c r="O17">
        <v>5</v>
      </c>
      <c r="P17">
        <v>0</v>
      </c>
      <c r="Q17">
        <v>0</v>
      </c>
      <c r="R17">
        <v>1</v>
      </c>
      <c r="S17">
        <v>0</v>
      </c>
      <c r="T17">
        <v>0</v>
      </c>
      <c r="U17">
        <v>6</v>
      </c>
      <c r="V17">
        <v>0</v>
      </c>
      <c r="W17">
        <v>2</v>
      </c>
      <c r="X17">
        <v>2</v>
      </c>
      <c r="Y17">
        <v>100</v>
      </c>
      <c r="Z17">
        <v>2</v>
      </c>
      <c r="AA17">
        <v>2</v>
      </c>
      <c r="AB17">
        <v>4</v>
      </c>
      <c r="AC17">
        <v>3</v>
      </c>
      <c r="AD17">
        <v>0</v>
      </c>
      <c r="AE17">
        <v>1</v>
      </c>
      <c r="AF17">
        <v>0</v>
      </c>
      <c r="AG17">
        <v>1</v>
      </c>
      <c r="AH17">
        <v>0</v>
      </c>
      <c r="AI17">
        <v>0</v>
      </c>
      <c r="AJ17">
        <v>2</v>
      </c>
      <c r="AK17">
        <v>4</v>
      </c>
      <c r="AL17">
        <v>-9</v>
      </c>
      <c r="AM17">
        <v>7.88</v>
      </c>
      <c r="AN17" s="2">
        <v>0.3</v>
      </c>
      <c r="AO17">
        <v>14.53</v>
      </c>
      <c r="AP17">
        <v>12.69</v>
      </c>
      <c r="AQ17">
        <v>0.33333333333333331</v>
      </c>
      <c r="AR17">
        <v>72.67</v>
      </c>
      <c r="AS17">
        <v>14.53</v>
      </c>
      <c r="AT17">
        <v>12.79</v>
      </c>
      <c r="AU17" s="3">
        <f t="shared" si="2"/>
        <v>0.14285714285714285</v>
      </c>
      <c r="AV17" s="3">
        <f t="shared" si="0"/>
        <v>5.2631578947368418E-2</v>
      </c>
      <c r="AW17" s="3">
        <f t="shared" si="1"/>
        <v>0.1111111111111111</v>
      </c>
    </row>
    <row r="18" spans="1:49" x14ac:dyDescent="0.25">
      <c r="A18" s="1">
        <v>16</v>
      </c>
      <c r="B18" t="s">
        <v>46</v>
      </c>
      <c r="C18">
        <v>1</v>
      </c>
      <c r="D18" t="s">
        <v>45</v>
      </c>
      <c r="E18" t="s">
        <v>59</v>
      </c>
      <c r="F18" t="s">
        <v>60</v>
      </c>
      <c r="G18" t="s">
        <v>65</v>
      </c>
      <c r="H18">
        <v>0</v>
      </c>
      <c r="I18">
        <v>1</v>
      </c>
      <c r="J18">
        <v>9</v>
      </c>
      <c r="K18" t="s">
        <v>82</v>
      </c>
      <c r="L18">
        <v>30.2</v>
      </c>
      <c r="M18">
        <v>4</v>
      </c>
      <c r="N18">
        <v>2</v>
      </c>
      <c r="O18">
        <v>5</v>
      </c>
      <c r="P18">
        <v>40</v>
      </c>
      <c r="Q18">
        <v>0</v>
      </c>
      <c r="R18">
        <v>6</v>
      </c>
      <c r="S18">
        <v>0</v>
      </c>
      <c r="T18">
        <v>2</v>
      </c>
      <c r="U18">
        <v>11</v>
      </c>
      <c r="V18">
        <v>18.2</v>
      </c>
      <c r="W18">
        <v>0</v>
      </c>
      <c r="X18">
        <v>1</v>
      </c>
      <c r="Y18">
        <v>0</v>
      </c>
      <c r="Z18">
        <v>1</v>
      </c>
      <c r="AA18">
        <v>2</v>
      </c>
      <c r="AB18">
        <v>3</v>
      </c>
      <c r="AC18">
        <v>4</v>
      </c>
      <c r="AD18">
        <v>0</v>
      </c>
      <c r="AE18">
        <v>1</v>
      </c>
      <c r="AF18">
        <v>1</v>
      </c>
      <c r="AG18">
        <v>0</v>
      </c>
      <c r="AH18">
        <v>0</v>
      </c>
      <c r="AI18">
        <v>1</v>
      </c>
      <c r="AJ18">
        <v>1</v>
      </c>
      <c r="AK18">
        <v>1</v>
      </c>
      <c r="AL18">
        <v>-20</v>
      </c>
      <c r="AM18">
        <v>12.44</v>
      </c>
      <c r="AN18" s="2">
        <v>0.41192052980132449</v>
      </c>
      <c r="AO18">
        <v>17.48</v>
      </c>
      <c r="AP18">
        <v>8.0399999999999991</v>
      </c>
      <c r="AQ18">
        <v>0</v>
      </c>
      <c r="AR18">
        <v>43.71</v>
      </c>
      <c r="AS18">
        <v>52.45</v>
      </c>
      <c r="AT18">
        <v>3.85</v>
      </c>
      <c r="AU18" s="3">
        <f t="shared" si="2"/>
        <v>0.14285714285714285</v>
      </c>
      <c r="AV18" s="3">
        <f t="shared" si="0"/>
        <v>0.31578947368421051</v>
      </c>
      <c r="AW18" s="3">
        <f t="shared" si="1"/>
        <v>0.20370370370370369</v>
      </c>
    </row>
    <row r="19" spans="1:49" x14ac:dyDescent="0.25">
      <c r="A19" s="1">
        <v>17</v>
      </c>
      <c r="B19" t="s">
        <v>46</v>
      </c>
      <c r="C19">
        <v>1</v>
      </c>
      <c r="D19" t="s">
        <v>45</v>
      </c>
      <c r="E19" t="s">
        <v>59</v>
      </c>
      <c r="F19" t="s">
        <v>60</v>
      </c>
      <c r="G19" t="s">
        <v>65</v>
      </c>
      <c r="H19">
        <v>0</v>
      </c>
      <c r="I19">
        <v>0</v>
      </c>
      <c r="J19">
        <v>11</v>
      </c>
      <c r="K19" t="s">
        <v>83</v>
      </c>
      <c r="L19">
        <v>15.53333333333333</v>
      </c>
      <c r="M19">
        <v>2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1</v>
      </c>
      <c r="V19">
        <v>0</v>
      </c>
      <c r="W19">
        <v>2</v>
      </c>
      <c r="X19">
        <v>2</v>
      </c>
      <c r="Y19">
        <v>100</v>
      </c>
      <c r="Z19">
        <v>0</v>
      </c>
      <c r="AA19">
        <v>1</v>
      </c>
      <c r="AB19">
        <v>1</v>
      </c>
      <c r="AC19">
        <v>1</v>
      </c>
      <c r="AD19">
        <v>0</v>
      </c>
      <c r="AE19">
        <v>3</v>
      </c>
      <c r="AF19">
        <v>0</v>
      </c>
      <c r="AG19">
        <v>0</v>
      </c>
      <c r="AH19">
        <v>0</v>
      </c>
      <c r="AI19">
        <v>3</v>
      </c>
      <c r="AJ19">
        <v>1</v>
      </c>
      <c r="AK19">
        <v>-2</v>
      </c>
      <c r="AL19">
        <v>-3</v>
      </c>
      <c r="AM19">
        <v>4.88</v>
      </c>
      <c r="AN19" s="2">
        <v>0.31416309012875537</v>
      </c>
      <c r="AO19">
        <v>53.19</v>
      </c>
      <c r="AP19">
        <v>61.48</v>
      </c>
      <c r="AQ19">
        <v>2</v>
      </c>
      <c r="AR19">
        <v>0</v>
      </c>
      <c r="AS19">
        <v>53.19</v>
      </c>
      <c r="AT19">
        <v>46.81</v>
      </c>
      <c r="AU19" s="3">
        <f t="shared" si="2"/>
        <v>0</v>
      </c>
      <c r="AV19" s="3">
        <f t="shared" si="0"/>
        <v>5.2631578947368418E-2</v>
      </c>
      <c r="AW19" s="3">
        <f t="shared" si="1"/>
        <v>1.8518518518518517E-2</v>
      </c>
    </row>
    <row r="20" spans="1:49" x14ac:dyDescent="0.25">
      <c r="A20" s="1">
        <v>18</v>
      </c>
      <c r="B20" t="s">
        <v>46</v>
      </c>
      <c r="C20">
        <v>1</v>
      </c>
      <c r="D20" t="s">
        <v>45</v>
      </c>
      <c r="E20" t="s">
        <v>59</v>
      </c>
      <c r="F20" t="s">
        <v>60</v>
      </c>
      <c r="G20" t="s">
        <v>65</v>
      </c>
      <c r="H20">
        <v>0</v>
      </c>
      <c r="I20">
        <v>1</v>
      </c>
      <c r="J20">
        <v>15</v>
      </c>
      <c r="K20" t="s">
        <v>84</v>
      </c>
      <c r="L20">
        <v>29.666666666666671</v>
      </c>
      <c r="M20">
        <v>15</v>
      </c>
      <c r="N20">
        <v>5</v>
      </c>
      <c r="O20">
        <v>7</v>
      </c>
      <c r="P20">
        <v>71.400000000000006</v>
      </c>
      <c r="Q20">
        <v>0</v>
      </c>
      <c r="R20">
        <v>1</v>
      </c>
      <c r="S20">
        <v>0</v>
      </c>
      <c r="T20">
        <v>5</v>
      </c>
      <c r="U20">
        <v>8</v>
      </c>
      <c r="V20">
        <v>62.5</v>
      </c>
      <c r="W20">
        <v>5</v>
      </c>
      <c r="X20">
        <v>8</v>
      </c>
      <c r="Y20">
        <v>62.5</v>
      </c>
      <c r="Z20">
        <v>1</v>
      </c>
      <c r="AA20">
        <v>6</v>
      </c>
      <c r="AB20">
        <v>7</v>
      </c>
      <c r="AC20">
        <v>1</v>
      </c>
      <c r="AD20">
        <v>2</v>
      </c>
      <c r="AE20">
        <v>2</v>
      </c>
      <c r="AF20">
        <v>1</v>
      </c>
      <c r="AG20">
        <v>0</v>
      </c>
      <c r="AH20">
        <v>0</v>
      </c>
      <c r="AI20">
        <v>0</v>
      </c>
      <c r="AJ20">
        <v>8</v>
      </c>
      <c r="AK20">
        <v>26</v>
      </c>
      <c r="AL20">
        <v>-1</v>
      </c>
      <c r="AM20">
        <v>13.52</v>
      </c>
      <c r="AN20" s="2">
        <v>0.45573033707865163</v>
      </c>
      <c r="AO20">
        <v>65.099999999999994</v>
      </c>
      <c r="AP20">
        <v>14.79</v>
      </c>
      <c r="AQ20">
        <v>0.625</v>
      </c>
      <c r="AR20">
        <v>60.76</v>
      </c>
      <c r="AS20">
        <v>8.68</v>
      </c>
      <c r="AT20">
        <v>30.56</v>
      </c>
      <c r="AU20" s="3">
        <f t="shared" si="2"/>
        <v>0.2</v>
      </c>
      <c r="AV20" s="3">
        <f t="shared" si="0"/>
        <v>5.2631578947368418E-2</v>
      </c>
      <c r="AW20" s="3">
        <f t="shared" si="1"/>
        <v>0.14814814814814814</v>
      </c>
    </row>
    <row r="21" spans="1:49" x14ac:dyDescent="0.25">
      <c r="A21" s="1">
        <v>19</v>
      </c>
      <c r="B21" t="s">
        <v>46</v>
      </c>
      <c r="C21">
        <v>1</v>
      </c>
      <c r="D21" t="s">
        <v>45</v>
      </c>
      <c r="E21" t="s">
        <v>59</v>
      </c>
      <c r="F21" t="s">
        <v>60</v>
      </c>
      <c r="G21" t="s">
        <v>65</v>
      </c>
      <c r="H21">
        <v>0</v>
      </c>
      <c r="I21">
        <v>1</v>
      </c>
      <c r="J21">
        <v>32</v>
      </c>
      <c r="K21" t="s">
        <v>85</v>
      </c>
      <c r="L21">
        <v>23.7</v>
      </c>
      <c r="M21">
        <v>3</v>
      </c>
      <c r="N21">
        <v>1</v>
      </c>
      <c r="O21">
        <v>4</v>
      </c>
      <c r="P21">
        <v>25</v>
      </c>
      <c r="Q21">
        <v>0</v>
      </c>
      <c r="R21">
        <v>1</v>
      </c>
      <c r="S21">
        <v>0</v>
      </c>
      <c r="T21">
        <v>1</v>
      </c>
      <c r="U21">
        <v>5</v>
      </c>
      <c r="V21">
        <v>20</v>
      </c>
      <c r="W21">
        <v>1</v>
      </c>
      <c r="X21">
        <v>8</v>
      </c>
      <c r="Y21">
        <v>12.5</v>
      </c>
      <c r="Z21">
        <v>4</v>
      </c>
      <c r="AA21">
        <v>1</v>
      </c>
      <c r="AB21">
        <v>5</v>
      </c>
      <c r="AC21">
        <v>0</v>
      </c>
      <c r="AD21">
        <v>1</v>
      </c>
      <c r="AE21">
        <v>2</v>
      </c>
      <c r="AF21">
        <v>0</v>
      </c>
      <c r="AG21">
        <v>0</v>
      </c>
      <c r="AH21">
        <v>0</v>
      </c>
      <c r="AI21">
        <v>2</v>
      </c>
      <c r="AJ21">
        <v>5</v>
      </c>
      <c r="AK21">
        <v>-1</v>
      </c>
      <c r="AL21">
        <v>-7</v>
      </c>
      <c r="AM21">
        <v>10.52</v>
      </c>
      <c r="AN21" s="2">
        <v>0.44388185654008439</v>
      </c>
      <c r="AO21">
        <v>17.61</v>
      </c>
      <c r="AP21">
        <v>19.010000000000002</v>
      </c>
      <c r="AQ21">
        <v>0.2</v>
      </c>
      <c r="AR21">
        <v>46.95</v>
      </c>
      <c r="AS21">
        <v>11.74</v>
      </c>
      <c r="AT21">
        <v>41.31</v>
      </c>
      <c r="AU21" s="3">
        <f t="shared" si="2"/>
        <v>0.11428571428571428</v>
      </c>
      <c r="AV21" s="3">
        <f t="shared" si="0"/>
        <v>5.2631578947368418E-2</v>
      </c>
      <c r="AW21" s="3">
        <f t="shared" si="1"/>
        <v>9.2592592592592587E-2</v>
      </c>
    </row>
    <row r="22" spans="1:49" x14ac:dyDescent="0.25">
      <c r="A22" s="1">
        <v>20</v>
      </c>
      <c r="B22" t="s">
        <v>46</v>
      </c>
      <c r="C22">
        <v>1</v>
      </c>
      <c r="D22" t="s">
        <v>45</v>
      </c>
      <c r="E22" t="s">
        <v>59</v>
      </c>
      <c r="F22" t="s">
        <v>60</v>
      </c>
      <c r="G22" t="s">
        <v>65</v>
      </c>
      <c r="H22">
        <v>0</v>
      </c>
      <c r="I22">
        <v>1</v>
      </c>
      <c r="J22">
        <v>33</v>
      </c>
      <c r="K22" t="s">
        <v>86</v>
      </c>
      <c r="L22">
        <v>21.666666666666671</v>
      </c>
      <c r="M22">
        <v>15</v>
      </c>
      <c r="N22">
        <v>4</v>
      </c>
      <c r="O22">
        <v>5</v>
      </c>
      <c r="P22">
        <v>80</v>
      </c>
      <c r="Q22">
        <v>2</v>
      </c>
      <c r="R22">
        <v>5</v>
      </c>
      <c r="S22">
        <v>40</v>
      </c>
      <c r="T22">
        <v>6</v>
      </c>
      <c r="U22">
        <v>10</v>
      </c>
      <c r="V22">
        <v>60</v>
      </c>
      <c r="W22">
        <v>1</v>
      </c>
      <c r="X22">
        <v>4</v>
      </c>
      <c r="Y22">
        <v>25</v>
      </c>
      <c r="Z22">
        <v>0</v>
      </c>
      <c r="AA22">
        <v>5</v>
      </c>
      <c r="AB22">
        <v>5</v>
      </c>
      <c r="AC22">
        <v>0</v>
      </c>
      <c r="AD22">
        <v>1</v>
      </c>
      <c r="AE22">
        <v>1</v>
      </c>
      <c r="AF22">
        <v>0</v>
      </c>
      <c r="AG22">
        <v>0</v>
      </c>
      <c r="AH22">
        <v>0</v>
      </c>
      <c r="AI22">
        <v>5</v>
      </c>
      <c r="AJ22">
        <v>4</v>
      </c>
      <c r="AK22">
        <v>12</v>
      </c>
      <c r="AL22">
        <v>-7</v>
      </c>
      <c r="AM22">
        <v>12.76</v>
      </c>
      <c r="AN22" s="2">
        <v>0.58892307692307688</v>
      </c>
      <c r="AO22">
        <v>63.78</v>
      </c>
      <c r="AP22">
        <v>7.84</v>
      </c>
      <c r="AQ22">
        <v>0.1</v>
      </c>
      <c r="AR22">
        <v>42.52</v>
      </c>
      <c r="AS22">
        <v>42.52</v>
      </c>
      <c r="AT22">
        <v>14.97</v>
      </c>
      <c r="AU22" s="3">
        <f t="shared" si="2"/>
        <v>0.14285714285714285</v>
      </c>
      <c r="AV22" s="3">
        <f t="shared" si="0"/>
        <v>0.26315789473684209</v>
      </c>
      <c r="AW22" s="3">
        <f t="shared" si="1"/>
        <v>0.18518518518518517</v>
      </c>
    </row>
    <row r="23" spans="1:49" x14ac:dyDescent="0.25">
      <c r="A23" s="1">
        <v>21</v>
      </c>
      <c r="B23" t="s">
        <v>46</v>
      </c>
      <c r="C23">
        <v>1</v>
      </c>
      <c r="D23" t="s">
        <v>45</v>
      </c>
      <c r="E23" t="s">
        <v>59</v>
      </c>
      <c r="F23" t="s">
        <v>60</v>
      </c>
      <c r="G23" t="s">
        <v>65</v>
      </c>
      <c r="H23">
        <v>0</v>
      </c>
      <c r="I23">
        <v>0</v>
      </c>
      <c r="J23">
        <v>34</v>
      </c>
      <c r="K23" t="s">
        <v>87</v>
      </c>
      <c r="L23">
        <v>10.3</v>
      </c>
      <c r="M23">
        <v>2</v>
      </c>
      <c r="N23">
        <v>1</v>
      </c>
      <c r="O23">
        <v>2</v>
      </c>
      <c r="P23">
        <v>50</v>
      </c>
      <c r="Q23">
        <v>0</v>
      </c>
      <c r="R23">
        <v>0</v>
      </c>
      <c r="S23">
        <v>0</v>
      </c>
      <c r="T23">
        <v>1</v>
      </c>
      <c r="U23">
        <v>2</v>
      </c>
      <c r="V23">
        <v>50</v>
      </c>
      <c r="W23">
        <v>0</v>
      </c>
      <c r="X23">
        <v>0</v>
      </c>
      <c r="Y23">
        <v>0</v>
      </c>
      <c r="Z23">
        <v>0</v>
      </c>
      <c r="AA23">
        <v>4</v>
      </c>
      <c r="AB23">
        <v>4</v>
      </c>
      <c r="AC23">
        <v>1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1</v>
      </c>
      <c r="AJ23">
        <v>0</v>
      </c>
      <c r="AK23">
        <v>6</v>
      </c>
      <c r="AL23">
        <v>9</v>
      </c>
      <c r="AM23">
        <v>2</v>
      </c>
      <c r="AN23" s="2">
        <v>0.1941747572815534</v>
      </c>
      <c r="AO23">
        <v>50</v>
      </c>
      <c r="AP23">
        <v>0</v>
      </c>
      <c r="AQ23">
        <v>0</v>
      </c>
      <c r="AR23">
        <v>100</v>
      </c>
      <c r="AS23">
        <v>0</v>
      </c>
      <c r="AT23">
        <v>0</v>
      </c>
      <c r="AU23" s="3">
        <f t="shared" si="2"/>
        <v>5.7142857142857141E-2</v>
      </c>
      <c r="AV23" s="3">
        <f t="shared" si="0"/>
        <v>0</v>
      </c>
      <c r="AW23" s="3">
        <f t="shared" si="1"/>
        <v>3.7037037037037035E-2</v>
      </c>
    </row>
    <row r="24" spans="1:49" x14ac:dyDescent="0.25">
      <c r="A24" s="1">
        <v>22</v>
      </c>
      <c r="B24" t="s">
        <v>46</v>
      </c>
      <c r="C24">
        <v>1</v>
      </c>
      <c r="D24" t="s">
        <v>45</v>
      </c>
      <c r="E24" t="s">
        <v>59</v>
      </c>
      <c r="F24" t="s">
        <v>60</v>
      </c>
      <c r="G24" t="s">
        <v>65</v>
      </c>
      <c r="H24">
        <v>0</v>
      </c>
      <c r="I24">
        <v>0</v>
      </c>
      <c r="J24">
        <v>45</v>
      </c>
      <c r="K24" t="s">
        <v>88</v>
      </c>
      <c r="L24">
        <v>15</v>
      </c>
      <c r="M24">
        <v>0</v>
      </c>
      <c r="N24">
        <v>0</v>
      </c>
      <c r="O24">
        <v>3</v>
      </c>
      <c r="P24">
        <v>0</v>
      </c>
      <c r="Q24">
        <v>0</v>
      </c>
      <c r="R24">
        <v>1</v>
      </c>
      <c r="S24">
        <v>0</v>
      </c>
      <c r="T24">
        <v>0</v>
      </c>
      <c r="U24">
        <v>4</v>
      </c>
      <c r="V24">
        <v>0</v>
      </c>
      <c r="W24">
        <v>0</v>
      </c>
      <c r="X24">
        <v>2</v>
      </c>
      <c r="Y24">
        <v>0</v>
      </c>
      <c r="Z24">
        <v>1</v>
      </c>
      <c r="AA24">
        <v>3</v>
      </c>
      <c r="AB24">
        <v>4</v>
      </c>
      <c r="AC24">
        <v>0</v>
      </c>
      <c r="AD24">
        <v>2</v>
      </c>
      <c r="AE24">
        <v>1</v>
      </c>
      <c r="AF24">
        <v>0</v>
      </c>
      <c r="AG24">
        <v>0</v>
      </c>
      <c r="AH24">
        <v>0</v>
      </c>
      <c r="AI24">
        <v>2</v>
      </c>
      <c r="AJ24">
        <v>1</v>
      </c>
      <c r="AK24">
        <v>-2</v>
      </c>
      <c r="AL24">
        <v>4</v>
      </c>
      <c r="AM24">
        <v>5.88</v>
      </c>
      <c r="AN24" s="2">
        <v>0.39200000000000002</v>
      </c>
      <c r="AO24">
        <v>0</v>
      </c>
      <c r="AP24">
        <v>17.010000000000002</v>
      </c>
      <c r="AQ24">
        <v>0</v>
      </c>
      <c r="AR24">
        <v>61.48</v>
      </c>
      <c r="AS24">
        <v>20.49</v>
      </c>
      <c r="AT24">
        <v>18.03</v>
      </c>
      <c r="AU24" s="3">
        <f t="shared" si="2"/>
        <v>8.5714285714285715E-2</v>
      </c>
      <c r="AV24" s="3">
        <f t="shared" si="0"/>
        <v>5.2631578947368418E-2</v>
      </c>
      <c r="AW24" s="3">
        <f t="shared" si="1"/>
        <v>7.407407407407407E-2</v>
      </c>
    </row>
    <row r="25" spans="1:49" x14ac:dyDescent="0.25">
      <c r="A25" s="1">
        <v>23</v>
      </c>
      <c r="B25" t="s">
        <v>46</v>
      </c>
      <c r="C25">
        <v>1</v>
      </c>
      <c r="D25" t="s">
        <v>45</v>
      </c>
      <c r="E25" t="s">
        <v>59</v>
      </c>
      <c r="F25" t="s">
        <v>60</v>
      </c>
      <c r="G25" t="s">
        <v>65</v>
      </c>
      <c r="H25">
        <v>0</v>
      </c>
      <c r="I25">
        <v>0</v>
      </c>
      <c r="K25" t="s">
        <v>77</v>
      </c>
      <c r="L25">
        <v>200</v>
      </c>
      <c r="M25">
        <v>48</v>
      </c>
      <c r="N25">
        <v>15</v>
      </c>
      <c r="O25">
        <v>35</v>
      </c>
      <c r="P25">
        <v>42.9</v>
      </c>
      <c r="Q25">
        <v>2</v>
      </c>
      <c r="R25">
        <v>19</v>
      </c>
      <c r="S25">
        <v>10.5</v>
      </c>
      <c r="T25">
        <v>17</v>
      </c>
      <c r="U25">
        <v>54</v>
      </c>
      <c r="V25">
        <v>31.5</v>
      </c>
      <c r="W25">
        <v>12</v>
      </c>
      <c r="X25">
        <v>29</v>
      </c>
      <c r="Y25">
        <v>41.4</v>
      </c>
      <c r="Z25">
        <v>11</v>
      </c>
      <c r="AA25">
        <v>24</v>
      </c>
      <c r="AB25">
        <v>35</v>
      </c>
      <c r="AC25">
        <v>10</v>
      </c>
      <c r="AD25">
        <v>9</v>
      </c>
      <c r="AE25">
        <v>13</v>
      </c>
      <c r="AF25">
        <v>3</v>
      </c>
      <c r="AG25">
        <v>1</v>
      </c>
      <c r="AH25">
        <v>0</v>
      </c>
      <c r="AI25">
        <v>21</v>
      </c>
      <c r="AJ25">
        <v>25</v>
      </c>
      <c r="AK25">
        <v>42</v>
      </c>
      <c r="AM25">
        <v>79.760000000000005</v>
      </c>
      <c r="AN25" s="2">
        <v>0.39879999999999999</v>
      </c>
      <c r="AO25">
        <v>35.950000000000003</v>
      </c>
      <c r="AP25">
        <v>16.3</v>
      </c>
      <c r="AQ25">
        <v>0.22222222222222221</v>
      </c>
      <c r="AR25">
        <v>52.43</v>
      </c>
      <c r="AS25">
        <v>28.46</v>
      </c>
      <c r="AT25">
        <v>19.11</v>
      </c>
      <c r="AU25" s="3">
        <f t="shared" si="2"/>
        <v>1</v>
      </c>
      <c r="AV25" s="3">
        <f t="shared" si="0"/>
        <v>1</v>
      </c>
      <c r="AW25" s="3">
        <f t="shared" si="1"/>
        <v>1</v>
      </c>
    </row>
    <row r="26" spans="1:49" x14ac:dyDescent="0.25">
      <c r="A26" s="1">
        <v>24</v>
      </c>
      <c r="B26" t="s">
        <v>47</v>
      </c>
      <c r="C26">
        <v>1</v>
      </c>
      <c r="D26" t="s">
        <v>48</v>
      </c>
      <c r="E26" t="s">
        <v>59</v>
      </c>
      <c r="F26" t="s">
        <v>60</v>
      </c>
      <c r="G26" t="s">
        <v>64</v>
      </c>
      <c r="H26">
        <v>1</v>
      </c>
      <c r="I26">
        <v>0</v>
      </c>
      <c r="J26">
        <v>3</v>
      </c>
      <c r="K26" t="s">
        <v>89</v>
      </c>
      <c r="L26">
        <v>19.766666666666669</v>
      </c>
      <c r="M26">
        <v>12</v>
      </c>
      <c r="N26">
        <v>1</v>
      </c>
      <c r="O26">
        <v>4</v>
      </c>
      <c r="P26">
        <v>25</v>
      </c>
      <c r="Q26">
        <v>2</v>
      </c>
      <c r="R26">
        <v>3</v>
      </c>
      <c r="S26">
        <v>66.7</v>
      </c>
      <c r="T26">
        <v>3</v>
      </c>
      <c r="U26">
        <v>7</v>
      </c>
      <c r="V26">
        <v>42.9</v>
      </c>
      <c r="W26">
        <v>4</v>
      </c>
      <c r="X26">
        <v>8</v>
      </c>
      <c r="Y26">
        <v>50</v>
      </c>
      <c r="Z26">
        <v>2</v>
      </c>
      <c r="AA26">
        <v>3</v>
      </c>
      <c r="AB26">
        <v>5</v>
      </c>
      <c r="AC26">
        <v>2</v>
      </c>
      <c r="AD26">
        <v>3</v>
      </c>
      <c r="AE26">
        <v>3</v>
      </c>
      <c r="AF26">
        <v>0</v>
      </c>
      <c r="AG26">
        <v>0</v>
      </c>
      <c r="AH26">
        <v>0</v>
      </c>
      <c r="AI26">
        <v>3</v>
      </c>
      <c r="AJ26">
        <v>4</v>
      </c>
      <c r="AK26">
        <v>12</v>
      </c>
      <c r="AL26">
        <v>11</v>
      </c>
      <c r="AM26">
        <v>13.52</v>
      </c>
      <c r="AN26">
        <v>0.6839797639123103</v>
      </c>
      <c r="AO26">
        <v>57.03</v>
      </c>
      <c r="AP26">
        <v>22.19</v>
      </c>
      <c r="AQ26">
        <v>0.5714285714285714</v>
      </c>
      <c r="AR26">
        <v>38.020000000000003</v>
      </c>
      <c r="AS26">
        <v>28.52</v>
      </c>
      <c r="AT26">
        <v>33.46</v>
      </c>
    </row>
    <row r="27" spans="1:49" x14ac:dyDescent="0.25">
      <c r="A27" s="1">
        <v>25</v>
      </c>
      <c r="B27" t="s">
        <v>47</v>
      </c>
      <c r="C27">
        <v>1</v>
      </c>
      <c r="D27" t="s">
        <v>48</v>
      </c>
      <c r="E27" t="s">
        <v>59</v>
      </c>
      <c r="F27" t="s">
        <v>60</v>
      </c>
      <c r="G27" t="s">
        <v>64</v>
      </c>
      <c r="H27">
        <v>1</v>
      </c>
      <c r="I27">
        <v>0</v>
      </c>
      <c r="J27">
        <v>4</v>
      </c>
      <c r="K27" t="s">
        <v>90</v>
      </c>
      <c r="L27">
        <v>15.133333333333329</v>
      </c>
      <c r="M27">
        <v>3</v>
      </c>
      <c r="N27">
        <v>1</v>
      </c>
      <c r="O27">
        <v>5</v>
      </c>
      <c r="P27">
        <v>20</v>
      </c>
      <c r="Q27">
        <v>0</v>
      </c>
      <c r="R27">
        <v>2</v>
      </c>
      <c r="S27">
        <v>0</v>
      </c>
      <c r="T27">
        <v>1</v>
      </c>
      <c r="U27">
        <v>7</v>
      </c>
      <c r="V27">
        <v>14.3</v>
      </c>
      <c r="W27">
        <v>1</v>
      </c>
      <c r="X27">
        <v>2</v>
      </c>
      <c r="Y27">
        <v>50</v>
      </c>
      <c r="Z27">
        <v>0</v>
      </c>
      <c r="AA27">
        <v>1</v>
      </c>
      <c r="AB27">
        <v>1</v>
      </c>
      <c r="AC27">
        <v>0</v>
      </c>
      <c r="AD27">
        <v>0</v>
      </c>
      <c r="AE27">
        <v>2</v>
      </c>
      <c r="AF27">
        <v>0</v>
      </c>
      <c r="AG27">
        <v>0</v>
      </c>
      <c r="AH27">
        <v>0</v>
      </c>
      <c r="AI27">
        <v>0</v>
      </c>
      <c r="AJ27">
        <v>2</v>
      </c>
      <c r="AK27">
        <v>-3</v>
      </c>
      <c r="AL27">
        <v>-1</v>
      </c>
      <c r="AM27">
        <v>9.879999999999999</v>
      </c>
      <c r="AN27">
        <v>0.65286343612334796</v>
      </c>
      <c r="AO27">
        <v>19.04</v>
      </c>
      <c r="AP27">
        <v>20.239999999999998</v>
      </c>
      <c r="AQ27">
        <v>0.14285714285714279</v>
      </c>
      <c r="AR27">
        <v>63.45</v>
      </c>
      <c r="AS27">
        <v>25.38</v>
      </c>
      <c r="AT27">
        <v>11.17</v>
      </c>
    </row>
    <row r="28" spans="1:49" x14ac:dyDescent="0.25">
      <c r="A28" s="1">
        <v>26</v>
      </c>
      <c r="B28" t="s">
        <v>47</v>
      </c>
      <c r="C28">
        <v>1</v>
      </c>
      <c r="D28" t="s">
        <v>48</v>
      </c>
      <c r="E28" t="s">
        <v>59</v>
      </c>
      <c r="F28" t="s">
        <v>60</v>
      </c>
      <c r="G28" t="s">
        <v>64</v>
      </c>
      <c r="H28">
        <v>1</v>
      </c>
      <c r="I28">
        <v>0</v>
      </c>
      <c r="J28">
        <v>7</v>
      </c>
      <c r="K28" t="s">
        <v>91</v>
      </c>
      <c r="L28">
        <v>14.95</v>
      </c>
      <c r="M28">
        <v>8</v>
      </c>
      <c r="N28">
        <v>1</v>
      </c>
      <c r="O28">
        <v>2</v>
      </c>
      <c r="P28">
        <v>50</v>
      </c>
      <c r="Q28">
        <v>2</v>
      </c>
      <c r="R28">
        <v>3</v>
      </c>
      <c r="S28">
        <v>66.7</v>
      </c>
      <c r="T28">
        <v>3</v>
      </c>
      <c r="U28">
        <v>5</v>
      </c>
      <c r="V28">
        <v>60</v>
      </c>
      <c r="W28">
        <v>0</v>
      </c>
      <c r="X28">
        <v>0</v>
      </c>
      <c r="Y28">
        <v>0</v>
      </c>
      <c r="Z28">
        <v>0</v>
      </c>
      <c r="AA28">
        <v>5</v>
      </c>
      <c r="AB28">
        <v>5</v>
      </c>
      <c r="AC28">
        <v>1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10</v>
      </c>
      <c r="AL28">
        <v>14</v>
      </c>
      <c r="AM28">
        <v>6</v>
      </c>
      <c r="AN28">
        <v>0.40133779264214048</v>
      </c>
      <c r="AO28">
        <v>80</v>
      </c>
      <c r="AP28">
        <v>16.670000000000002</v>
      </c>
      <c r="AQ28">
        <v>0</v>
      </c>
      <c r="AR28">
        <v>40</v>
      </c>
      <c r="AS28">
        <v>60</v>
      </c>
      <c r="AT28">
        <v>0</v>
      </c>
    </row>
    <row r="29" spans="1:49" x14ac:dyDescent="0.25">
      <c r="A29" s="1">
        <v>27</v>
      </c>
      <c r="B29" t="s">
        <v>47</v>
      </c>
      <c r="C29">
        <v>1</v>
      </c>
      <c r="D29" t="s">
        <v>48</v>
      </c>
      <c r="E29" t="s">
        <v>59</v>
      </c>
      <c r="F29" t="s">
        <v>60</v>
      </c>
      <c r="G29" t="s">
        <v>64</v>
      </c>
      <c r="H29">
        <v>1</v>
      </c>
      <c r="I29">
        <v>0</v>
      </c>
      <c r="J29">
        <v>8</v>
      </c>
      <c r="K29" t="s">
        <v>92</v>
      </c>
      <c r="L29">
        <v>14.05</v>
      </c>
      <c r="M29">
        <v>2</v>
      </c>
      <c r="N29">
        <v>1</v>
      </c>
      <c r="O29">
        <v>1</v>
      </c>
      <c r="P29">
        <v>100</v>
      </c>
      <c r="Q29">
        <v>0</v>
      </c>
      <c r="R29">
        <v>1</v>
      </c>
      <c r="S29">
        <v>0</v>
      </c>
      <c r="T29">
        <v>1</v>
      </c>
      <c r="U29">
        <v>2</v>
      </c>
      <c r="V29">
        <v>50</v>
      </c>
      <c r="W29">
        <v>0</v>
      </c>
      <c r="X29">
        <v>0</v>
      </c>
      <c r="Y29">
        <v>0</v>
      </c>
      <c r="Z29">
        <v>0</v>
      </c>
      <c r="AA29">
        <v>1</v>
      </c>
      <c r="AB29">
        <v>1</v>
      </c>
      <c r="AC29">
        <v>1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4</v>
      </c>
      <c r="AL29">
        <v>10</v>
      </c>
      <c r="AM29">
        <v>2</v>
      </c>
      <c r="AN29">
        <v>0.14234875444839859</v>
      </c>
      <c r="AO29">
        <v>50</v>
      </c>
      <c r="AP29">
        <v>0</v>
      </c>
      <c r="AQ29">
        <v>0</v>
      </c>
      <c r="AR29">
        <v>50</v>
      </c>
      <c r="AS29">
        <v>50</v>
      </c>
      <c r="AT29">
        <v>0</v>
      </c>
    </row>
    <row r="30" spans="1:49" x14ac:dyDescent="0.25">
      <c r="A30" s="1">
        <v>28</v>
      </c>
      <c r="B30" t="s">
        <v>47</v>
      </c>
      <c r="C30">
        <v>1</v>
      </c>
      <c r="D30" t="s">
        <v>48</v>
      </c>
      <c r="E30" t="s">
        <v>59</v>
      </c>
      <c r="F30" t="s">
        <v>60</v>
      </c>
      <c r="G30" t="s">
        <v>64</v>
      </c>
      <c r="H30">
        <v>1</v>
      </c>
      <c r="I30">
        <v>0</v>
      </c>
      <c r="J30">
        <v>10</v>
      </c>
      <c r="K30" t="s">
        <v>93</v>
      </c>
      <c r="L30">
        <v>2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R30">
        <v>0</v>
      </c>
      <c r="AS30">
        <v>0</v>
      </c>
      <c r="AT30">
        <v>0</v>
      </c>
    </row>
    <row r="31" spans="1:49" x14ac:dyDescent="0.25">
      <c r="A31" s="1">
        <v>29</v>
      </c>
      <c r="B31" t="s">
        <v>47</v>
      </c>
      <c r="C31">
        <v>1</v>
      </c>
      <c r="D31" t="s">
        <v>48</v>
      </c>
      <c r="E31" t="s">
        <v>59</v>
      </c>
      <c r="F31" t="s">
        <v>60</v>
      </c>
      <c r="G31" t="s">
        <v>64</v>
      </c>
      <c r="H31">
        <v>1</v>
      </c>
      <c r="I31">
        <v>1</v>
      </c>
      <c r="J31">
        <v>11</v>
      </c>
      <c r="K31" t="s">
        <v>94</v>
      </c>
      <c r="L31">
        <v>15.65</v>
      </c>
      <c r="M31">
        <v>4</v>
      </c>
      <c r="N31">
        <v>2</v>
      </c>
      <c r="O31">
        <v>3</v>
      </c>
      <c r="P31">
        <v>66.7</v>
      </c>
      <c r="Q31">
        <v>0</v>
      </c>
      <c r="R31">
        <v>0</v>
      </c>
      <c r="S31">
        <v>0</v>
      </c>
      <c r="T31">
        <v>2</v>
      </c>
      <c r="U31">
        <v>3</v>
      </c>
      <c r="V31">
        <v>66.7</v>
      </c>
      <c r="W31">
        <v>0</v>
      </c>
      <c r="X31">
        <v>0</v>
      </c>
      <c r="Y31">
        <v>0</v>
      </c>
      <c r="Z31">
        <v>0</v>
      </c>
      <c r="AA31">
        <v>3</v>
      </c>
      <c r="AB31">
        <v>3</v>
      </c>
      <c r="AC31">
        <v>0</v>
      </c>
      <c r="AD31">
        <v>2</v>
      </c>
      <c r="AE31">
        <v>1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7</v>
      </c>
      <c r="AL31">
        <v>1</v>
      </c>
      <c r="AM31">
        <v>4</v>
      </c>
      <c r="AN31">
        <v>0.25559105431309898</v>
      </c>
      <c r="AO31">
        <v>66.67</v>
      </c>
      <c r="AP31">
        <v>25</v>
      </c>
      <c r="AQ31">
        <v>0</v>
      </c>
      <c r="AR31">
        <v>100</v>
      </c>
      <c r="AS31">
        <v>0</v>
      </c>
      <c r="AT31">
        <v>0</v>
      </c>
    </row>
    <row r="32" spans="1:49" x14ac:dyDescent="0.25">
      <c r="A32" s="1">
        <v>30</v>
      </c>
      <c r="B32" t="s">
        <v>47</v>
      </c>
      <c r="C32">
        <v>1</v>
      </c>
      <c r="D32" t="s">
        <v>48</v>
      </c>
      <c r="E32" t="s">
        <v>59</v>
      </c>
      <c r="F32" t="s">
        <v>60</v>
      </c>
      <c r="G32" t="s">
        <v>64</v>
      </c>
      <c r="H32">
        <v>1</v>
      </c>
      <c r="I32">
        <v>0</v>
      </c>
      <c r="J32">
        <v>16</v>
      </c>
      <c r="K32" t="s">
        <v>95</v>
      </c>
      <c r="L32">
        <v>16.81666666666667</v>
      </c>
      <c r="M32">
        <v>11</v>
      </c>
      <c r="N32">
        <v>4</v>
      </c>
      <c r="O32">
        <v>5</v>
      </c>
      <c r="P32">
        <v>80</v>
      </c>
      <c r="Q32">
        <v>1</v>
      </c>
      <c r="R32">
        <v>3</v>
      </c>
      <c r="S32">
        <v>33.299999999999997</v>
      </c>
      <c r="T32">
        <v>5</v>
      </c>
      <c r="U32">
        <v>8</v>
      </c>
      <c r="V32">
        <v>62.5</v>
      </c>
      <c r="W32">
        <v>0</v>
      </c>
      <c r="X32">
        <v>0</v>
      </c>
      <c r="Y32">
        <v>0</v>
      </c>
      <c r="Z32">
        <v>2</v>
      </c>
      <c r="AA32">
        <v>0</v>
      </c>
      <c r="AB32">
        <v>2</v>
      </c>
      <c r="AC32">
        <v>0</v>
      </c>
      <c r="AD32">
        <v>1</v>
      </c>
      <c r="AE32">
        <v>0</v>
      </c>
      <c r="AF32">
        <v>2</v>
      </c>
      <c r="AG32">
        <v>1</v>
      </c>
      <c r="AH32">
        <v>0</v>
      </c>
      <c r="AI32">
        <v>0</v>
      </c>
      <c r="AJ32">
        <v>0</v>
      </c>
      <c r="AK32">
        <v>13</v>
      </c>
      <c r="AL32">
        <v>10</v>
      </c>
      <c r="AM32">
        <v>8</v>
      </c>
      <c r="AN32">
        <v>0.47571853320118929</v>
      </c>
      <c r="AO32">
        <v>68.75</v>
      </c>
      <c r="AP32">
        <v>0</v>
      </c>
      <c r="AQ32">
        <v>0</v>
      </c>
      <c r="AR32">
        <v>62.5</v>
      </c>
      <c r="AS32">
        <v>37.5</v>
      </c>
      <c r="AT32">
        <v>0</v>
      </c>
    </row>
    <row r="33" spans="1:46" x14ac:dyDescent="0.25">
      <c r="A33" s="1">
        <v>31</v>
      </c>
      <c r="B33" t="s">
        <v>47</v>
      </c>
      <c r="C33">
        <v>1</v>
      </c>
      <c r="D33" t="s">
        <v>48</v>
      </c>
      <c r="E33" t="s">
        <v>59</v>
      </c>
      <c r="F33" t="s">
        <v>60</v>
      </c>
      <c r="G33" t="s">
        <v>64</v>
      </c>
      <c r="H33">
        <v>1</v>
      </c>
      <c r="I33">
        <v>1</v>
      </c>
      <c r="J33">
        <v>21</v>
      </c>
      <c r="K33" t="s">
        <v>96</v>
      </c>
      <c r="L33">
        <v>14.58333333333333</v>
      </c>
      <c r="M33">
        <v>2</v>
      </c>
      <c r="N33">
        <v>0</v>
      </c>
      <c r="O33">
        <v>1</v>
      </c>
      <c r="P33">
        <v>0</v>
      </c>
      <c r="Q33">
        <v>0</v>
      </c>
      <c r="R33">
        <v>1</v>
      </c>
      <c r="S33">
        <v>0</v>
      </c>
      <c r="T33">
        <v>0</v>
      </c>
      <c r="U33">
        <v>2</v>
      </c>
      <c r="V33">
        <v>0</v>
      </c>
      <c r="W33">
        <v>2</v>
      </c>
      <c r="X33">
        <v>2</v>
      </c>
      <c r="Y33">
        <v>100</v>
      </c>
      <c r="Z33">
        <v>1</v>
      </c>
      <c r="AA33">
        <v>4</v>
      </c>
      <c r="AB33">
        <v>5</v>
      </c>
      <c r="AC33">
        <v>4</v>
      </c>
      <c r="AD33">
        <v>0</v>
      </c>
      <c r="AE33">
        <v>5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4</v>
      </c>
      <c r="AL33">
        <v>3</v>
      </c>
      <c r="AM33">
        <v>7.88</v>
      </c>
      <c r="AN33">
        <v>0.54034285714285712</v>
      </c>
      <c r="AO33">
        <v>34.72</v>
      </c>
      <c r="AP33">
        <v>63.45</v>
      </c>
      <c r="AQ33">
        <v>1</v>
      </c>
      <c r="AR33">
        <v>34.72</v>
      </c>
      <c r="AS33">
        <v>34.72</v>
      </c>
      <c r="AT33">
        <v>30.56</v>
      </c>
    </row>
    <row r="34" spans="1:46" x14ac:dyDescent="0.25">
      <c r="A34" s="1">
        <v>32</v>
      </c>
      <c r="B34" t="s">
        <v>47</v>
      </c>
      <c r="C34">
        <v>1</v>
      </c>
      <c r="D34" t="s">
        <v>48</v>
      </c>
      <c r="E34" t="s">
        <v>59</v>
      </c>
      <c r="F34" t="s">
        <v>60</v>
      </c>
      <c r="G34" t="s">
        <v>64</v>
      </c>
      <c r="H34">
        <v>1</v>
      </c>
      <c r="I34">
        <v>1</v>
      </c>
      <c r="J34">
        <v>24</v>
      </c>
      <c r="K34" t="s">
        <v>97</v>
      </c>
      <c r="L34">
        <v>24.766666666666669</v>
      </c>
      <c r="M34">
        <v>11</v>
      </c>
      <c r="N34">
        <v>4</v>
      </c>
      <c r="O34">
        <v>6</v>
      </c>
      <c r="P34">
        <v>66.7</v>
      </c>
      <c r="Q34">
        <v>0</v>
      </c>
      <c r="R34">
        <v>3</v>
      </c>
      <c r="S34">
        <v>0</v>
      </c>
      <c r="T34">
        <v>4</v>
      </c>
      <c r="U34">
        <v>9</v>
      </c>
      <c r="V34">
        <v>44.4</v>
      </c>
      <c r="W34">
        <v>3</v>
      </c>
      <c r="X34">
        <v>6</v>
      </c>
      <c r="Y34">
        <v>50</v>
      </c>
      <c r="Z34">
        <v>1</v>
      </c>
      <c r="AA34">
        <v>5</v>
      </c>
      <c r="AB34">
        <v>6</v>
      </c>
      <c r="AC34">
        <v>8</v>
      </c>
      <c r="AD34">
        <v>1</v>
      </c>
      <c r="AE34">
        <v>5</v>
      </c>
      <c r="AF34">
        <v>0</v>
      </c>
      <c r="AG34">
        <v>0</v>
      </c>
      <c r="AH34">
        <v>0</v>
      </c>
      <c r="AI34">
        <v>3</v>
      </c>
      <c r="AJ34">
        <v>3</v>
      </c>
      <c r="AK34">
        <v>13</v>
      </c>
      <c r="AL34">
        <v>27</v>
      </c>
      <c r="AM34">
        <v>16.64</v>
      </c>
      <c r="AN34">
        <v>0.67187079407806194</v>
      </c>
      <c r="AO34">
        <v>47.25</v>
      </c>
      <c r="AP34">
        <v>30.05</v>
      </c>
      <c r="AQ34">
        <v>0.33333333333333331</v>
      </c>
      <c r="AR34">
        <v>51.55</v>
      </c>
      <c r="AS34">
        <v>25.77</v>
      </c>
      <c r="AT34">
        <v>22.68</v>
      </c>
    </row>
    <row r="35" spans="1:46" x14ac:dyDescent="0.25">
      <c r="A35" s="1">
        <v>33</v>
      </c>
      <c r="B35" t="s">
        <v>47</v>
      </c>
      <c r="C35">
        <v>1</v>
      </c>
      <c r="D35" t="s">
        <v>48</v>
      </c>
      <c r="E35" t="s">
        <v>59</v>
      </c>
      <c r="F35" t="s">
        <v>60</v>
      </c>
      <c r="G35" t="s">
        <v>64</v>
      </c>
      <c r="H35">
        <v>1</v>
      </c>
      <c r="I35">
        <v>1</v>
      </c>
      <c r="J35">
        <v>30</v>
      </c>
      <c r="K35" t="s">
        <v>98</v>
      </c>
      <c r="L35">
        <v>26.93333333333333</v>
      </c>
      <c r="M35">
        <v>14</v>
      </c>
      <c r="N35">
        <v>1</v>
      </c>
      <c r="O35">
        <v>2</v>
      </c>
      <c r="P35">
        <v>50</v>
      </c>
      <c r="Q35">
        <v>4</v>
      </c>
      <c r="R35">
        <v>9</v>
      </c>
      <c r="S35">
        <v>44.4</v>
      </c>
      <c r="T35">
        <v>5</v>
      </c>
      <c r="U35">
        <v>11</v>
      </c>
      <c r="V35">
        <v>45.5</v>
      </c>
      <c r="W35">
        <v>0</v>
      </c>
      <c r="X35">
        <v>0</v>
      </c>
      <c r="Y35">
        <v>0</v>
      </c>
      <c r="Z35">
        <v>0</v>
      </c>
      <c r="AA35">
        <v>1</v>
      </c>
      <c r="AB35">
        <v>1</v>
      </c>
      <c r="AC35">
        <v>2</v>
      </c>
      <c r="AD35">
        <v>2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12</v>
      </c>
      <c r="AL35">
        <v>25</v>
      </c>
      <c r="AM35">
        <v>11</v>
      </c>
      <c r="AN35">
        <v>0.40841584158415839</v>
      </c>
      <c r="AO35">
        <v>63.64</v>
      </c>
      <c r="AP35">
        <v>0</v>
      </c>
      <c r="AQ35">
        <v>0</v>
      </c>
      <c r="AR35">
        <v>18.18</v>
      </c>
      <c r="AS35">
        <v>81.819999999999993</v>
      </c>
      <c r="AT35">
        <v>0</v>
      </c>
    </row>
    <row r="36" spans="1:46" x14ac:dyDescent="0.25">
      <c r="A36" s="1">
        <v>34</v>
      </c>
      <c r="B36" t="s">
        <v>47</v>
      </c>
      <c r="C36">
        <v>1</v>
      </c>
      <c r="D36" t="s">
        <v>48</v>
      </c>
      <c r="E36" t="s">
        <v>59</v>
      </c>
      <c r="F36" t="s">
        <v>60</v>
      </c>
      <c r="G36" t="s">
        <v>64</v>
      </c>
      <c r="H36">
        <v>1</v>
      </c>
      <c r="I36">
        <v>1</v>
      </c>
      <c r="J36">
        <v>55</v>
      </c>
      <c r="K36" t="s">
        <v>99</v>
      </c>
      <c r="L36">
        <v>17.100000000000001</v>
      </c>
      <c r="M36">
        <v>7</v>
      </c>
      <c r="N36">
        <v>3</v>
      </c>
      <c r="O36">
        <v>5</v>
      </c>
      <c r="P36">
        <v>60</v>
      </c>
      <c r="Q36">
        <v>0</v>
      </c>
      <c r="R36">
        <v>0</v>
      </c>
      <c r="S36">
        <v>0</v>
      </c>
      <c r="T36">
        <v>3</v>
      </c>
      <c r="U36">
        <v>5</v>
      </c>
      <c r="V36">
        <v>60</v>
      </c>
      <c r="W36">
        <v>1</v>
      </c>
      <c r="X36">
        <v>2</v>
      </c>
      <c r="Y36">
        <v>50</v>
      </c>
      <c r="Z36">
        <v>1</v>
      </c>
      <c r="AA36">
        <v>3</v>
      </c>
      <c r="AB36">
        <v>4</v>
      </c>
      <c r="AC36">
        <v>1</v>
      </c>
      <c r="AD36">
        <v>1</v>
      </c>
      <c r="AE36">
        <v>1</v>
      </c>
      <c r="AF36">
        <v>1</v>
      </c>
      <c r="AG36">
        <v>0</v>
      </c>
      <c r="AH36">
        <v>0</v>
      </c>
      <c r="AI36">
        <v>2</v>
      </c>
      <c r="AJ36">
        <v>4</v>
      </c>
      <c r="AK36">
        <v>12</v>
      </c>
      <c r="AL36">
        <v>22</v>
      </c>
      <c r="AM36">
        <v>6.88</v>
      </c>
      <c r="AN36">
        <v>0.40233918128654972</v>
      </c>
      <c r="AO36">
        <v>59.52</v>
      </c>
      <c r="AP36">
        <v>14.53</v>
      </c>
      <c r="AQ36">
        <v>0.2</v>
      </c>
      <c r="AR36">
        <v>85.03</v>
      </c>
      <c r="AS36">
        <v>0</v>
      </c>
      <c r="AT36">
        <v>14.97</v>
      </c>
    </row>
    <row r="37" spans="1:46" x14ac:dyDescent="0.25">
      <c r="A37" s="1">
        <v>35</v>
      </c>
      <c r="B37" t="s">
        <v>47</v>
      </c>
      <c r="C37">
        <v>1</v>
      </c>
      <c r="D37" t="s">
        <v>48</v>
      </c>
      <c r="E37" t="s">
        <v>59</v>
      </c>
      <c r="F37" t="s">
        <v>60</v>
      </c>
      <c r="G37" t="s">
        <v>64</v>
      </c>
      <c r="H37">
        <v>1</v>
      </c>
      <c r="I37">
        <v>0</v>
      </c>
      <c r="J37">
        <v>77</v>
      </c>
      <c r="K37" t="s">
        <v>100</v>
      </c>
      <c r="L37">
        <v>18.25</v>
      </c>
      <c r="M37">
        <v>9</v>
      </c>
      <c r="N37">
        <v>4</v>
      </c>
      <c r="O37">
        <v>7</v>
      </c>
      <c r="P37">
        <v>57.1</v>
      </c>
      <c r="Q37">
        <v>0</v>
      </c>
      <c r="R37">
        <v>0</v>
      </c>
      <c r="S37">
        <v>0</v>
      </c>
      <c r="T37">
        <v>4</v>
      </c>
      <c r="U37">
        <v>7</v>
      </c>
      <c r="V37">
        <v>57.1</v>
      </c>
      <c r="W37">
        <v>1</v>
      </c>
      <c r="X37">
        <v>4</v>
      </c>
      <c r="Y37">
        <v>25</v>
      </c>
      <c r="Z37">
        <v>5</v>
      </c>
      <c r="AA37">
        <v>2</v>
      </c>
      <c r="AB37">
        <v>7</v>
      </c>
      <c r="AC37">
        <v>1</v>
      </c>
      <c r="AD37">
        <v>0</v>
      </c>
      <c r="AE37">
        <v>3</v>
      </c>
      <c r="AF37">
        <v>0</v>
      </c>
      <c r="AG37">
        <v>0</v>
      </c>
      <c r="AH37">
        <v>0</v>
      </c>
      <c r="AI37">
        <v>3</v>
      </c>
      <c r="AJ37">
        <v>2</v>
      </c>
      <c r="AK37">
        <v>7</v>
      </c>
      <c r="AL37">
        <v>3</v>
      </c>
      <c r="AM37">
        <v>11.76</v>
      </c>
      <c r="AN37">
        <v>0.64438356164383559</v>
      </c>
      <c r="AO37">
        <v>51.37</v>
      </c>
      <c r="AP37">
        <v>25.51</v>
      </c>
      <c r="AQ37">
        <v>0.14285714285714279</v>
      </c>
      <c r="AR37">
        <v>79.91</v>
      </c>
      <c r="AS37">
        <v>0</v>
      </c>
      <c r="AT37">
        <v>20.09</v>
      </c>
    </row>
    <row r="38" spans="1:46" x14ac:dyDescent="0.25">
      <c r="A38" s="1">
        <v>36</v>
      </c>
      <c r="B38" t="s">
        <v>47</v>
      </c>
      <c r="C38">
        <v>1</v>
      </c>
      <c r="D38" t="s">
        <v>48</v>
      </c>
      <c r="E38" t="s">
        <v>59</v>
      </c>
      <c r="F38" t="s">
        <v>60</v>
      </c>
      <c r="G38" t="s">
        <v>64</v>
      </c>
      <c r="H38">
        <v>1</v>
      </c>
      <c r="I38">
        <v>0</v>
      </c>
      <c r="K38" t="s">
        <v>77</v>
      </c>
      <c r="L38">
        <v>200</v>
      </c>
      <c r="M38">
        <v>83</v>
      </c>
      <c r="N38">
        <v>22</v>
      </c>
      <c r="O38">
        <v>41</v>
      </c>
      <c r="P38">
        <v>53.7</v>
      </c>
      <c r="Q38">
        <v>9</v>
      </c>
      <c r="R38">
        <v>25</v>
      </c>
      <c r="S38">
        <v>36</v>
      </c>
      <c r="T38">
        <v>31</v>
      </c>
      <c r="U38">
        <v>66</v>
      </c>
      <c r="V38">
        <v>47</v>
      </c>
      <c r="W38">
        <v>12</v>
      </c>
      <c r="X38">
        <v>24</v>
      </c>
      <c r="Y38">
        <v>50</v>
      </c>
      <c r="Z38">
        <v>12</v>
      </c>
      <c r="AA38">
        <v>28</v>
      </c>
      <c r="AB38">
        <v>40</v>
      </c>
      <c r="AC38">
        <v>21</v>
      </c>
      <c r="AD38">
        <v>11</v>
      </c>
      <c r="AE38">
        <v>21</v>
      </c>
      <c r="AF38">
        <v>3</v>
      </c>
      <c r="AG38">
        <v>1</v>
      </c>
      <c r="AH38">
        <v>0</v>
      </c>
      <c r="AI38">
        <v>16</v>
      </c>
      <c r="AJ38">
        <v>18</v>
      </c>
      <c r="AK38">
        <v>92</v>
      </c>
      <c r="AM38">
        <v>97.56</v>
      </c>
      <c r="AN38">
        <v>0.48780000000000001</v>
      </c>
      <c r="AO38">
        <v>54.21</v>
      </c>
      <c r="AP38">
        <v>21.53</v>
      </c>
      <c r="AQ38">
        <v>0.1818181818181818</v>
      </c>
      <c r="AR38">
        <v>53.55</v>
      </c>
      <c r="AS38">
        <v>32.65</v>
      </c>
      <c r="AT38">
        <v>13.79</v>
      </c>
    </row>
    <row r="39" spans="1:46" x14ac:dyDescent="0.25">
      <c r="A39" s="1">
        <v>37</v>
      </c>
      <c r="B39" t="s">
        <v>48</v>
      </c>
      <c r="C39">
        <v>1</v>
      </c>
      <c r="D39" t="s">
        <v>47</v>
      </c>
      <c r="E39" t="s">
        <v>59</v>
      </c>
      <c r="F39" t="s">
        <v>60</v>
      </c>
      <c r="G39" t="s">
        <v>65</v>
      </c>
      <c r="H39">
        <v>0</v>
      </c>
      <c r="I39">
        <v>1</v>
      </c>
      <c r="J39">
        <v>1</v>
      </c>
      <c r="K39" t="s">
        <v>101</v>
      </c>
      <c r="L39">
        <v>0.98333333333333328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-2</v>
      </c>
      <c r="AM39">
        <v>1</v>
      </c>
      <c r="AN39">
        <v>1.0169491525423731</v>
      </c>
      <c r="AO39">
        <v>0</v>
      </c>
      <c r="AP39">
        <v>0</v>
      </c>
      <c r="AQ39">
        <v>0</v>
      </c>
      <c r="AR39">
        <v>0</v>
      </c>
      <c r="AS39">
        <v>100</v>
      </c>
      <c r="AT39">
        <v>0</v>
      </c>
    </row>
    <row r="40" spans="1:46" x14ac:dyDescent="0.25">
      <c r="A40" s="1">
        <v>38</v>
      </c>
      <c r="B40" t="s">
        <v>48</v>
      </c>
      <c r="C40">
        <v>1</v>
      </c>
      <c r="D40" t="s">
        <v>47</v>
      </c>
      <c r="E40" t="s">
        <v>59</v>
      </c>
      <c r="F40" t="s">
        <v>60</v>
      </c>
      <c r="G40" t="s">
        <v>65</v>
      </c>
      <c r="H40">
        <v>0</v>
      </c>
      <c r="I40">
        <v>1</v>
      </c>
      <c r="J40">
        <v>5</v>
      </c>
      <c r="K40" t="s">
        <v>102</v>
      </c>
      <c r="L40">
        <v>35.133333333333333</v>
      </c>
      <c r="M40">
        <v>12</v>
      </c>
      <c r="N40">
        <v>3</v>
      </c>
      <c r="O40">
        <v>11</v>
      </c>
      <c r="P40">
        <v>27.3</v>
      </c>
      <c r="Q40">
        <v>2</v>
      </c>
      <c r="R40">
        <v>7</v>
      </c>
      <c r="S40">
        <v>28.6</v>
      </c>
      <c r="T40">
        <v>5</v>
      </c>
      <c r="U40">
        <v>18</v>
      </c>
      <c r="V40">
        <v>27.8</v>
      </c>
      <c r="W40">
        <v>0</v>
      </c>
      <c r="X40">
        <v>0</v>
      </c>
      <c r="Y40">
        <v>0</v>
      </c>
      <c r="Z40">
        <v>2</v>
      </c>
      <c r="AA40">
        <v>6</v>
      </c>
      <c r="AB40">
        <v>8</v>
      </c>
      <c r="AC40">
        <v>3</v>
      </c>
      <c r="AD40">
        <v>3</v>
      </c>
      <c r="AE40">
        <v>2</v>
      </c>
      <c r="AF40">
        <v>0</v>
      </c>
      <c r="AG40">
        <v>1</v>
      </c>
      <c r="AH40">
        <v>0</v>
      </c>
      <c r="AI40">
        <v>1</v>
      </c>
      <c r="AJ40">
        <v>1</v>
      </c>
      <c r="AK40">
        <v>11</v>
      </c>
      <c r="AL40">
        <v>-25</v>
      </c>
      <c r="AM40">
        <v>20</v>
      </c>
      <c r="AN40">
        <v>0.56925996204933582</v>
      </c>
      <c r="AO40">
        <v>33.33</v>
      </c>
      <c r="AP40">
        <v>10</v>
      </c>
      <c r="AQ40">
        <v>0</v>
      </c>
      <c r="AR40">
        <v>61.11</v>
      </c>
      <c r="AS40">
        <v>38.89</v>
      </c>
      <c r="AT40">
        <v>0</v>
      </c>
    </row>
    <row r="41" spans="1:46" x14ac:dyDescent="0.25">
      <c r="A41" s="1">
        <v>39</v>
      </c>
      <c r="B41" t="s">
        <v>48</v>
      </c>
      <c r="C41">
        <v>1</v>
      </c>
      <c r="D41" t="s">
        <v>47</v>
      </c>
      <c r="E41" t="s">
        <v>59</v>
      </c>
      <c r="F41" t="s">
        <v>60</v>
      </c>
      <c r="G41" t="s">
        <v>65</v>
      </c>
      <c r="H41">
        <v>0</v>
      </c>
      <c r="I41">
        <v>1</v>
      </c>
      <c r="J41">
        <v>6</v>
      </c>
      <c r="K41" t="s">
        <v>103</v>
      </c>
      <c r="L41">
        <v>31.533333333333331</v>
      </c>
      <c r="M41">
        <v>10</v>
      </c>
      <c r="N41">
        <v>2</v>
      </c>
      <c r="O41">
        <v>5</v>
      </c>
      <c r="P41">
        <v>40</v>
      </c>
      <c r="Q41">
        <v>1</v>
      </c>
      <c r="R41">
        <v>8</v>
      </c>
      <c r="S41">
        <v>12.5</v>
      </c>
      <c r="T41">
        <v>3</v>
      </c>
      <c r="U41">
        <v>13</v>
      </c>
      <c r="V41">
        <v>23.1</v>
      </c>
      <c r="W41">
        <v>3</v>
      </c>
      <c r="X41">
        <v>4</v>
      </c>
      <c r="Y41">
        <v>75</v>
      </c>
      <c r="Z41">
        <v>0</v>
      </c>
      <c r="AA41">
        <v>1</v>
      </c>
      <c r="AB41">
        <v>1</v>
      </c>
      <c r="AC41">
        <v>2</v>
      </c>
      <c r="AD41">
        <v>4</v>
      </c>
      <c r="AE41">
        <v>5</v>
      </c>
      <c r="AF41">
        <v>1</v>
      </c>
      <c r="AG41">
        <v>0</v>
      </c>
      <c r="AH41">
        <v>0</v>
      </c>
      <c r="AI41">
        <v>1</v>
      </c>
      <c r="AJ41">
        <v>5</v>
      </c>
      <c r="AK41">
        <v>6</v>
      </c>
      <c r="AL41">
        <v>-26</v>
      </c>
      <c r="AM41">
        <v>19.760000000000002</v>
      </c>
      <c r="AN41">
        <v>0.62663847780126836</v>
      </c>
      <c r="AO41">
        <v>33.880000000000003</v>
      </c>
      <c r="AP41">
        <v>25.3</v>
      </c>
      <c r="AQ41">
        <v>0.23076923076923081</v>
      </c>
      <c r="AR41">
        <v>33.880000000000003</v>
      </c>
      <c r="AS41">
        <v>54.2</v>
      </c>
      <c r="AT41">
        <v>11.92</v>
      </c>
    </row>
    <row r="42" spans="1:46" x14ac:dyDescent="0.25">
      <c r="A42" s="1">
        <v>40</v>
      </c>
      <c r="B42" t="s">
        <v>48</v>
      </c>
      <c r="C42">
        <v>1</v>
      </c>
      <c r="D42" t="s">
        <v>47</v>
      </c>
      <c r="E42" t="s">
        <v>59</v>
      </c>
      <c r="F42" t="s">
        <v>60</v>
      </c>
      <c r="G42" t="s">
        <v>65</v>
      </c>
      <c r="H42">
        <v>0</v>
      </c>
      <c r="I42">
        <v>0</v>
      </c>
      <c r="J42">
        <v>13</v>
      </c>
      <c r="K42" t="s">
        <v>104</v>
      </c>
      <c r="L42">
        <v>20.81666666666667</v>
      </c>
      <c r="M42">
        <v>4</v>
      </c>
      <c r="N42">
        <v>2</v>
      </c>
      <c r="O42">
        <v>5</v>
      </c>
      <c r="P42">
        <v>40</v>
      </c>
      <c r="Q42">
        <v>0</v>
      </c>
      <c r="R42">
        <v>0</v>
      </c>
      <c r="S42">
        <v>0</v>
      </c>
      <c r="T42">
        <v>2</v>
      </c>
      <c r="U42">
        <v>5</v>
      </c>
      <c r="V42">
        <v>40</v>
      </c>
      <c r="W42">
        <v>0</v>
      </c>
      <c r="X42">
        <v>0</v>
      </c>
      <c r="Y42">
        <v>0</v>
      </c>
      <c r="Z42">
        <v>0</v>
      </c>
      <c r="AA42">
        <v>3</v>
      </c>
      <c r="AB42">
        <v>3</v>
      </c>
      <c r="AC42">
        <v>1</v>
      </c>
      <c r="AD42">
        <v>2</v>
      </c>
      <c r="AE42">
        <v>3</v>
      </c>
      <c r="AF42">
        <v>0</v>
      </c>
      <c r="AG42">
        <v>1</v>
      </c>
      <c r="AH42">
        <v>0</v>
      </c>
      <c r="AI42">
        <v>3</v>
      </c>
      <c r="AJ42">
        <v>2</v>
      </c>
      <c r="AK42">
        <v>3</v>
      </c>
      <c r="AL42">
        <v>-10</v>
      </c>
      <c r="AM42">
        <v>8</v>
      </c>
      <c r="AN42">
        <v>0.38430744595676541</v>
      </c>
      <c r="AO42">
        <v>40</v>
      </c>
      <c r="AP42">
        <v>37.5</v>
      </c>
      <c r="AQ42">
        <v>0</v>
      </c>
      <c r="AR42">
        <v>100</v>
      </c>
      <c r="AS42">
        <v>0</v>
      </c>
      <c r="AT42">
        <v>0</v>
      </c>
    </row>
    <row r="43" spans="1:46" x14ac:dyDescent="0.25">
      <c r="A43" s="1">
        <v>41</v>
      </c>
      <c r="B43" t="s">
        <v>48</v>
      </c>
      <c r="C43">
        <v>1</v>
      </c>
      <c r="D43" t="s">
        <v>47</v>
      </c>
      <c r="E43" t="s">
        <v>59</v>
      </c>
      <c r="F43" t="s">
        <v>60</v>
      </c>
      <c r="G43" t="s">
        <v>65</v>
      </c>
      <c r="H43">
        <v>0</v>
      </c>
      <c r="I43">
        <v>0</v>
      </c>
      <c r="J43">
        <v>14</v>
      </c>
      <c r="K43" t="s">
        <v>105</v>
      </c>
      <c r="L43">
        <v>30.81666666666667</v>
      </c>
      <c r="M43">
        <v>7</v>
      </c>
      <c r="N43">
        <v>2</v>
      </c>
      <c r="O43">
        <v>5</v>
      </c>
      <c r="P43">
        <v>40</v>
      </c>
      <c r="Q43">
        <v>1</v>
      </c>
      <c r="R43">
        <v>2</v>
      </c>
      <c r="S43">
        <v>50</v>
      </c>
      <c r="T43">
        <v>3</v>
      </c>
      <c r="U43">
        <v>7</v>
      </c>
      <c r="V43">
        <v>42.9</v>
      </c>
      <c r="W43">
        <v>0</v>
      </c>
      <c r="X43">
        <v>0</v>
      </c>
      <c r="Y43">
        <v>0</v>
      </c>
      <c r="Z43">
        <v>2</v>
      </c>
      <c r="AA43">
        <v>5</v>
      </c>
      <c r="AB43">
        <v>7</v>
      </c>
      <c r="AC43">
        <v>3</v>
      </c>
      <c r="AD43">
        <v>2</v>
      </c>
      <c r="AE43">
        <v>1</v>
      </c>
      <c r="AF43">
        <v>0</v>
      </c>
      <c r="AG43">
        <v>1</v>
      </c>
      <c r="AH43">
        <v>0</v>
      </c>
      <c r="AI43">
        <v>1</v>
      </c>
      <c r="AJ43">
        <v>1</v>
      </c>
      <c r="AK43">
        <v>14</v>
      </c>
      <c r="AL43">
        <v>-15</v>
      </c>
      <c r="AM43">
        <v>8</v>
      </c>
      <c r="AN43">
        <v>0.25959978366684688</v>
      </c>
      <c r="AO43">
        <v>50</v>
      </c>
      <c r="AP43">
        <v>12.5</v>
      </c>
      <c r="AQ43">
        <v>0</v>
      </c>
      <c r="AR43">
        <v>71.430000000000007</v>
      </c>
      <c r="AS43">
        <v>28.57</v>
      </c>
      <c r="AT43">
        <v>0</v>
      </c>
    </row>
    <row r="44" spans="1:46" x14ac:dyDescent="0.25">
      <c r="A44" s="1">
        <v>42</v>
      </c>
      <c r="B44" t="s">
        <v>48</v>
      </c>
      <c r="C44">
        <v>1</v>
      </c>
      <c r="D44" t="s">
        <v>47</v>
      </c>
      <c r="E44" t="s">
        <v>59</v>
      </c>
      <c r="F44" t="s">
        <v>60</v>
      </c>
      <c r="G44" t="s">
        <v>65</v>
      </c>
      <c r="H44">
        <v>0</v>
      </c>
      <c r="I44">
        <v>0</v>
      </c>
      <c r="J44">
        <v>20</v>
      </c>
      <c r="K44" t="s">
        <v>106</v>
      </c>
      <c r="L44">
        <v>12.21666666666667</v>
      </c>
      <c r="M44">
        <v>7</v>
      </c>
      <c r="N44">
        <v>1</v>
      </c>
      <c r="O44">
        <v>3</v>
      </c>
      <c r="P44">
        <v>33.299999999999997</v>
      </c>
      <c r="Q44">
        <v>0</v>
      </c>
      <c r="R44">
        <v>0</v>
      </c>
      <c r="S44">
        <v>0</v>
      </c>
      <c r="T44">
        <v>1</v>
      </c>
      <c r="U44">
        <v>3</v>
      </c>
      <c r="V44">
        <v>33.299999999999997</v>
      </c>
      <c r="W44">
        <v>5</v>
      </c>
      <c r="X44">
        <v>6</v>
      </c>
      <c r="Y44">
        <v>83.3</v>
      </c>
      <c r="Z44">
        <v>0</v>
      </c>
      <c r="AA44">
        <v>1</v>
      </c>
      <c r="AB44">
        <v>1</v>
      </c>
      <c r="AC44">
        <v>0</v>
      </c>
      <c r="AD44">
        <v>1</v>
      </c>
      <c r="AE44">
        <v>1</v>
      </c>
      <c r="AF44">
        <v>0</v>
      </c>
      <c r="AG44">
        <v>0</v>
      </c>
      <c r="AH44">
        <v>0</v>
      </c>
      <c r="AI44">
        <v>5</v>
      </c>
      <c r="AJ44">
        <v>4</v>
      </c>
      <c r="AK44">
        <v>4</v>
      </c>
      <c r="AL44">
        <v>-13</v>
      </c>
      <c r="AM44">
        <v>6.6400000000000006</v>
      </c>
      <c r="AN44">
        <v>0.5435197817189632</v>
      </c>
      <c r="AO44">
        <v>62.06</v>
      </c>
      <c r="AP44">
        <v>15.06</v>
      </c>
      <c r="AQ44">
        <v>1.666666666666667</v>
      </c>
      <c r="AR44">
        <v>53.19</v>
      </c>
      <c r="AS44">
        <v>0</v>
      </c>
      <c r="AT44">
        <v>46.81</v>
      </c>
    </row>
    <row r="45" spans="1:46" x14ac:dyDescent="0.25">
      <c r="A45" s="1">
        <v>43</v>
      </c>
      <c r="B45" t="s">
        <v>48</v>
      </c>
      <c r="C45">
        <v>1</v>
      </c>
      <c r="D45" t="s">
        <v>47</v>
      </c>
      <c r="E45" t="s">
        <v>59</v>
      </c>
      <c r="F45" t="s">
        <v>60</v>
      </c>
      <c r="G45" t="s">
        <v>65</v>
      </c>
      <c r="H45">
        <v>0</v>
      </c>
      <c r="I45">
        <v>1</v>
      </c>
      <c r="J45">
        <v>22</v>
      </c>
      <c r="K45" t="s">
        <v>107</v>
      </c>
      <c r="L45">
        <v>25.033333333333331</v>
      </c>
      <c r="M45">
        <v>10</v>
      </c>
      <c r="N45">
        <v>5</v>
      </c>
      <c r="O45">
        <v>11</v>
      </c>
      <c r="P45">
        <v>45.5</v>
      </c>
      <c r="Q45">
        <v>0</v>
      </c>
      <c r="R45">
        <v>1</v>
      </c>
      <c r="S45">
        <v>0</v>
      </c>
      <c r="T45">
        <v>5</v>
      </c>
      <c r="U45">
        <v>12</v>
      </c>
      <c r="V45">
        <v>41.7</v>
      </c>
      <c r="W45">
        <v>0</v>
      </c>
      <c r="X45">
        <v>0</v>
      </c>
      <c r="Y45">
        <v>0</v>
      </c>
      <c r="Z45">
        <v>2</v>
      </c>
      <c r="AA45">
        <v>0</v>
      </c>
      <c r="AB45">
        <v>2</v>
      </c>
      <c r="AC45">
        <v>0</v>
      </c>
      <c r="AD45">
        <v>1</v>
      </c>
      <c r="AE45">
        <v>3</v>
      </c>
      <c r="AF45">
        <v>0</v>
      </c>
      <c r="AG45">
        <v>0</v>
      </c>
      <c r="AH45">
        <v>0</v>
      </c>
      <c r="AI45">
        <v>3</v>
      </c>
      <c r="AJ45">
        <v>1</v>
      </c>
      <c r="AK45">
        <v>1</v>
      </c>
      <c r="AL45">
        <v>-2</v>
      </c>
      <c r="AM45">
        <v>15</v>
      </c>
      <c r="AN45">
        <v>0.5992010652463382</v>
      </c>
      <c r="AO45">
        <v>41.67</v>
      </c>
      <c r="AP45">
        <v>20</v>
      </c>
      <c r="AQ45">
        <v>0</v>
      </c>
      <c r="AR45">
        <v>91.67</v>
      </c>
      <c r="AS45">
        <v>8.33</v>
      </c>
      <c r="AT45">
        <v>0</v>
      </c>
    </row>
    <row r="46" spans="1:46" x14ac:dyDescent="0.25">
      <c r="A46" s="1">
        <v>44</v>
      </c>
      <c r="B46" t="s">
        <v>48</v>
      </c>
      <c r="C46">
        <v>1</v>
      </c>
      <c r="D46" t="s">
        <v>47</v>
      </c>
      <c r="E46" t="s">
        <v>59</v>
      </c>
      <c r="F46" t="s">
        <v>60</v>
      </c>
      <c r="G46" t="s">
        <v>65</v>
      </c>
      <c r="H46">
        <v>0</v>
      </c>
      <c r="I46">
        <v>1</v>
      </c>
      <c r="J46">
        <v>30</v>
      </c>
      <c r="K46" t="s">
        <v>108</v>
      </c>
      <c r="L46">
        <v>17.600000000000001</v>
      </c>
      <c r="M46">
        <v>4</v>
      </c>
      <c r="N46">
        <v>2</v>
      </c>
      <c r="O46">
        <v>2</v>
      </c>
      <c r="P46">
        <v>100</v>
      </c>
      <c r="Q46">
        <v>0</v>
      </c>
      <c r="R46">
        <v>1</v>
      </c>
      <c r="S46">
        <v>0</v>
      </c>
      <c r="T46">
        <v>2</v>
      </c>
      <c r="U46">
        <v>3</v>
      </c>
      <c r="V46">
        <v>66.7</v>
      </c>
      <c r="W46">
        <v>0</v>
      </c>
      <c r="X46">
        <v>0</v>
      </c>
      <c r="Y46">
        <v>0</v>
      </c>
      <c r="Z46">
        <v>1</v>
      </c>
      <c r="AA46">
        <v>2</v>
      </c>
      <c r="AB46">
        <v>3</v>
      </c>
      <c r="AC46">
        <v>2</v>
      </c>
      <c r="AD46">
        <v>0</v>
      </c>
      <c r="AE46">
        <v>2</v>
      </c>
      <c r="AF46">
        <v>0</v>
      </c>
      <c r="AG46">
        <v>0</v>
      </c>
      <c r="AH46">
        <v>0</v>
      </c>
      <c r="AI46">
        <v>5</v>
      </c>
      <c r="AJ46">
        <v>0</v>
      </c>
      <c r="AK46">
        <v>1</v>
      </c>
      <c r="AL46">
        <v>-9</v>
      </c>
      <c r="AM46">
        <v>5</v>
      </c>
      <c r="AN46">
        <v>0.28409090909090912</v>
      </c>
      <c r="AO46">
        <v>66.67</v>
      </c>
      <c r="AP46">
        <v>40</v>
      </c>
      <c r="AQ46">
        <v>0</v>
      </c>
      <c r="AR46">
        <v>66.67</v>
      </c>
      <c r="AS46">
        <v>33.33</v>
      </c>
      <c r="AT46">
        <v>0</v>
      </c>
    </row>
    <row r="47" spans="1:46" x14ac:dyDescent="0.25">
      <c r="A47" s="1">
        <v>45</v>
      </c>
      <c r="B47" t="s">
        <v>48</v>
      </c>
      <c r="C47">
        <v>1</v>
      </c>
      <c r="D47" t="s">
        <v>47</v>
      </c>
      <c r="E47" t="s">
        <v>59</v>
      </c>
      <c r="F47" t="s">
        <v>60</v>
      </c>
      <c r="G47" t="s">
        <v>65</v>
      </c>
      <c r="H47">
        <v>0</v>
      </c>
      <c r="I47">
        <v>0</v>
      </c>
      <c r="J47">
        <v>40</v>
      </c>
      <c r="K47" t="s">
        <v>109</v>
      </c>
      <c r="L47">
        <v>25.866666666666671</v>
      </c>
      <c r="M47">
        <v>4</v>
      </c>
      <c r="N47">
        <v>2</v>
      </c>
      <c r="O47">
        <v>4</v>
      </c>
      <c r="P47">
        <v>50</v>
      </c>
      <c r="Q47">
        <v>0</v>
      </c>
      <c r="R47">
        <v>0</v>
      </c>
      <c r="S47">
        <v>0</v>
      </c>
      <c r="T47">
        <v>2</v>
      </c>
      <c r="U47">
        <v>4</v>
      </c>
      <c r="V47">
        <v>50</v>
      </c>
      <c r="W47">
        <v>0</v>
      </c>
      <c r="X47">
        <v>0</v>
      </c>
      <c r="Y47">
        <v>0</v>
      </c>
      <c r="Z47">
        <v>0</v>
      </c>
      <c r="AA47">
        <v>4</v>
      </c>
      <c r="AB47">
        <v>4</v>
      </c>
      <c r="AC47">
        <v>0</v>
      </c>
      <c r="AD47">
        <v>1</v>
      </c>
      <c r="AE47">
        <v>2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6</v>
      </c>
      <c r="AL47">
        <v>-23</v>
      </c>
      <c r="AM47">
        <v>6</v>
      </c>
      <c r="AN47">
        <v>0.23195876288659789</v>
      </c>
      <c r="AO47">
        <v>50</v>
      </c>
      <c r="AP47">
        <v>33.33</v>
      </c>
      <c r="AQ47">
        <v>0</v>
      </c>
      <c r="AR47">
        <v>100</v>
      </c>
      <c r="AS47">
        <v>0</v>
      </c>
      <c r="AT47">
        <v>0</v>
      </c>
    </row>
    <row r="48" spans="1:46" x14ac:dyDescent="0.25">
      <c r="A48" s="1">
        <v>46</v>
      </c>
      <c r="B48" t="s">
        <v>48</v>
      </c>
      <c r="C48">
        <v>1</v>
      </c>
      <c r="D48" t="s">
        <v>47</v>
      </c>
      <c r="E48" t="s">
        <v>59</v>
      </c>
      <c r="F48" t="s">
        <v>60</v>
      </c>
      <c r="G48" t="s">
        <v>65</v>
      </c>
      <c r="H48">
        <v>0</v>
      </c>
      <c r="I48">
        <v>0</v>
      </c>
      <c r="K48" t="s">
        <v>77</v>
      </c>
      <c r="L48">
        <v>200</v>
      </c>
      <c r="M48">
        <v>58</v>
      </c>
      <c r="N48">
        <v>19</v>
      </c>
      <c r="O48">
        <v>46</v>
      </c>
      <c r="P48">
        <v>41.3</v>
      </c>
      <c r="Q48">
        <v>4</v>
      </c>
      <c r="R48">
        <v>20</v>
      </c>
      <c r="S48">
        <v>20</v>
      </c>
      <c r="T48">
        <v>23</v>
      </c>
      <c r="U48">
        <v>66</v>
      </c>
      <c r="V48">
        <v>34.799999999999997</v>
      </c>
      <c r="W48">
        <v>8</v>
      </c>
      <c r="X48">
        <v>10</v>
      </c>
      <c r="Y48">
        <v>80</v>
      </c>
      <c r="Z48">
        <v>7</v>
      </c>
      <c r="AA48">
        <v>22</v>
      </c>
      <c r="AB48">
        <v>29</v>
      </c>
      <c r="AC48">
        <v>11</v>
      </c>
      <c r="AD48">
        <v>14</v>
      </c>
      <c r="AE48">
        <v>19</v>
      </c>
      <c r="AF48">
        <v>1</v>
      </c>
      <c r="AG48">
        <v>3</v>
      </c>
      <c r="AH48">
        <v>0</v>
      </c>
      <c r="AI48">
        <v>19</v>
      </c>
      <c r="AJ48">
        <v>16</v>
      </c>
      <c r="AK48">
        <v>46</v>
      </c>
      <c r="AM48">
        <v>89.4</v>
      </c>
      <c r="AN48">
        <v>0.44700000000000001</v>
      </c>
      <c r="AO48">
        <v>41.19</v>
      </c>
      <c r="AP48">
        <v>21.25</v>
      </c>
      <c r="AQ48">
        <v>0.1212121212121212</v>
      </c>
      <c r="AR48">
        <v>65.34</v>
      </c>
      <c r="AS48">
        <v>28.41</v>
      </c>
      <c r="AT48">
        <v>6.25</v>
      </c>
    </row>
    <row r="49" spans="1:49" x14ac:dyDescent="0.25">
      <c r="A49" s="1">
        <v>47</v>
      </c>
      <c r="B49" t="s">
        <v>49</v>
      </c>
      <c r="C49">
        <v>1</v>
      </c>
      <c r="D49" t="s">
        <v>50</v>
      </c>
      <c r="E49" t="s">
        <v>59</v>
      </c>
      <c r="F49" t="s">
        <v>60</v>
      </c>
      <c r="G49" t="s">
        <v>64</v>
      </c>
      <c r="H49">
        <v>1</v>
      </c>
      <c r="I49">
        <v>1</v>
      </c>
      <c r="J49">
        <v>5</v>
      </c>
      <c r="K49" t="s">
        <v>110</v>
      </c>
      <c r="L49">
        <v>33.5</v>
      </c>
      <c r="M49">
        <v>3</v>
      </c>
      <c r="N49">
        <v>1</v>
      </c>
      <c r="O49">
        <v>7</v>
      </c>
      <c r="P49">
        <v>14.3</v>
      </c>
      <c r="Q49">
        <v>0</v>
      </c>
      <c r="R49">
        <v>5</v>
      </c>
      <c r="S49">
        <v>0</v>
      </c>
      <c r="T49">
        <v>1</v>
      </c>
      <c r="U49">
        <v>12</v>
      </c>
      <c r="V49">
        <v>8.3000000000000007</v>
      </c>
      <c r="W49">
        <v>1</v>
      </c>
      <c r="X49">
        <v>2</v>
      </c>
      <c r="Y49">
        <v>50</v>
      </c>
      <c r="Z49">
        <v>2</v>
      </c>
      <c r="AA49">
        <v>5</v>
      </c>
      <c r="AB49">
        <v>7</v>
      </c>
      <c r="AC49">
        <v>0</v>
      </c>
      <c r="AD49">
        <v>2</v>
      </c>
      <c r="AE49">
        <v>0</v>
      </c>
      <c r="AF49">
        <v>0</v>
      </c>
      <c r="AG49">
        <v>0</v>
      </c>
      <c r="AH49">
        <v>0</v>
      </c>
      <c r="AI49">
        <v>4</v>
      </c>
      <c r="AJ49">
        <v>3</v>
      </c>
      <c r="AK49">
        <v>-1</v>
      </c>
      <c r="AL49">
        <v>6</v>
      </c>
      <c r="AM49">
        <v>12.88</v>
      </c>
      <c r="AN49">
        <v>0.38447761194029861</v>
      </c>
      <c r="AO49">
        <v>11.65</v>
      </c>
      <c r="AP49">
        <v>0</v>
      </c>
      <c r="AQ49">
        <v>8.3333333333333329E-2</v>
      </c>
      <c r="AR49">
        <v>54.35</v>
      </c>
      <c r="AS49">
        <v>38.82</v>
      </c>
      <c r="AT49">
        <v>6.83</v>
      </c>
      <c r="AU49" s="3">
        <v>0.13461538461538461</v>
      </c>
      <c r="AV49" s="3">
        <v>0.23809523809523808</v>
      </c>
      <c r="AW49" s="3">
        <v>0.16438356164383561</v>
      </c>
    </row>
    <row r="50" spans="1:49" x14ac:dyDescent="0.25">
      <c r="A50" s="1">
        <v>48</v>
      </c>
      <c r="B50" t="s">
        <v>49</v>
      </c>
      <c r="C50">
        <v>1</v>
      </c>
      <c r="D50" t="s">
        <v>50</v>
      </c>
      <c r="E50" t="s">
        <v>59</v>
      </c>
      <c r="F50" t="s">
        <v>60</v>
      </c>
      <c r="G50" t="s">
        <v>64</v>
      </c>
      <c r="H50">
        <v>1</v>
      </c>
      <c r="I50">
        <v>0</v>
      </c>
      <c r="J50">
        <v>6</v>
      </c>
      <c r="K50" t="s">
        <v>111</v>
      </c>
      <c r="L50">
        <v>11.633333333333329</v>
      </c>
      <c r="M50">
        <v>2</v>
      </c>
      <c r="N50">
        <v>1</v>
      </c>
      <c r="O50">
        <v>3</v>
      </c>
      <c r="P50">
        <v>33.299999999999997</v>
      </c>
      <c r="Q50">
        <v>0</v>
      </c>
      <c r="R50">
        <v>0</v>
      </c>
      <c r="S50">
        <v>0</v>
      </c>
      <c r="T50">
        <v>1</v>
      </c>
      <c r="U50">
        <v>3</v>
      </c>
      <c r="V50">
        <v>33.299999999999997</v>
      </c>
      <c r="W50">
        <v>0</v>
      </c>
      <c r="X50">
        <v>0</v>
      </c>
      <c r="Y50">
        <v>0</v>
      </c>
      <c r="Z50">
        <v>2</v>
      </c>
      <c r="AA50">
        <v>5</v>
      </c>
      <c r="AB50">
        <v>7</v>
      </c>
      <c r="AC50">
        <v>1</v>
      </c>
      <c r="AD50">
        <v>0</v>
      </c>
      <c r="AE50">
        <v>1</v>
      </c>
      <c r="AF50">
        <v>3</v>
      </c>
      <c r="AG50">
        <v>0</v>
      </c>
      <c r="AH50">
        <v>0</v>
      </c>
      <c r="AI50">
        <v>3</v>
      </c>
      <c r="AJ50">
        <v>1</v>
      </c>
      <c r="AK50">
        <v>8</v>
      </c>
      <c r="AL50">
        <v>-6</v>
      </c>
      <c r="AM50">
        <v>4</v>
      </c>
      <c r="AN50">
        <v>0.34383954154727803</v>
      </c>
      <c r="AO50">
        <v>33.33</v>
      </c>
      <c r="AP50">
        <v>25</v>
      </c>
      <c r="AQ50">
        <v>0</v>
      </c>
      <c r="AR50">
        <v>100</v>
      </c>
      <c r="AS50">
        <v>0</v>
      </c>
      <c r="AT50">
        <v>0</v>
      </c>
      <c r="AU50" s="3">
        <v>5.7692307692307696E-2</v>
      </c>
      <c r="AV50" s="3">
        <v>0</v>
      </c>
      <c r="AW50" s="3">
        <v>4.1095890410958902E-2</v>
      </c>
    </row>
    <row r="51" spans="1:49" x14ac:dyDescent="0.25">
      <c r="A51" s="1">
        <v>49</v>
      </c>
      <c r="B51" t="s">
        <v>49</v>
      </c>
      <c r="C51">
        <v>1</v>
      </c>
      <c r="D51" t="s">
        <v>50</v>
      </c>
      <c r="E51" t="s">
        <v>59</v>
      </c>
      <c r="F51" t="s">
        <v>60</v>
      </c>
      <c r="G51" t="s">
        <v>64</v>
      </c>
      <c r="H51">
        <v>1</v>
      </c>
      <c r="I51">
        <v>1</v>
      </c>
      <c r="J51">
        <v>8</v>
      </c>
      <c r="K51" t="s">
        <v>112</v>
      </c>
      <c r="L51">
        <v>27.516666666666669</v>
      </c>
      <c r="M51">
        <v>7</v>
      </c>
      <c r="N51">
        <v>2</v>
      </c>
      <c r="O51">
        <v>5</v>
      </c>
      <c r="P51">
        <v>40</v>
      </c>
      <c r="Q51">
        <v>0</v>
      </c>
      <c r="R51">
        <v>1</v>
      </c>
      <c r="S51">
        <v>0</v>
      </c>
      <c r="T51">
        <v>2</v>
      </c>
      <c r="U51">
        <v>6</v>
      </c>
      <c r="V51">
        <v>33.299999999999997</v>
      </c>
      <c r="W51">
        <v>3</v>
      </c>
      <c r="X51">
        <v>5</v>
      </c>
      <c r="Y51">
        <v>60</v>
      </c>
      <c r="Z51">
        <v>1</v>
      </c>
      <c r="AA51">
        <v>5</v>
      </c>
      <c r="AB51">
        <v>6</v>
      </c>
      <c r="AC51">
        <v>0</v>
      </c>
      <c r="AD51">
        <v>3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4</v>
      </c>
      <c r="AK51">
        <v>14</v>
      </c>
      <c r="AL51">
        <v>9</v>
      </c>
      <c r="AM51">
        <v>8.1999999999999993</v>
      </c>
      <c r="AN51">
        <v>0.29800121138703822</v>
      </c>
      <c r="AO51">
        <v>42.68</v>
      </c>
      <c r="AP51">
        <v>0</v>
      </c>
      <c r="AQ51">
        <v>0.5</v>
      </c>
      <c r="AR51">
        <v>60.98</v>
      </c>
      <c r="AS51">
        <v>12.2</v>
      </c>
      <c r="AT51">
        <v>26.83</v>
      </c>
      <c r="AU51" s="3">
        <v>9.6153846153846159E-2</v>
      </c>
      <c r="AV51" s="3">
        <v>4.7619047619047616E-2</v>
      </c>
      <c r="AW51" s="3">
        <v>8.2191780821917804E-2</v>
      </c>
    </row>
    <row r="52" spans="1:49" s="13" customFormat="1" x14ac:dyDescent="0.25">
      <c r="A52" s="12">
        <v>50</v>
      </c>
      <c r="B52" s="13" t="s">
        <v>49</v>
      </c>
      <c r="C52" s="13">
        <v>1</v>
      </c>
      <c r="D52" s="13" t="s">
        <v>50</v>
      </c>
      <c r="E52" s="13" t="s">
        <v>59</v>
      </c>
      <c r="F52" s="13" t="s">
        <v>60</v>
      </c>
      <c r="G52" s="13" t="s">
        <v>64</v>
      </c>
      <c r="H52" s="13">
        <v>1</v>
      </c>
      <c r="I52" s="13">
        <v>0</v>
      </c>
      <c r="J52" s="13">
        <v>9</v>
      </c>
      <c r="K52" s="13" t="s">
        <v>113</v>
      </c>
      <c r="L52" s="13">
        <v>8.1666666666666661</v>
      </c>
      <c r="M52" s="13">
        <v>0</v>
      </c>
      <c r="N52" s="13">
        <v>0</v>
      </c>
      <c r="O52" s="13">
        <v>2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2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1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-1</v>
      </c>
      <c r="AL52" s="13">
        <v>-3</v>
      </c>
      <c r="AM52" s="13">
        <v>2</v>
      </c>
      <c r="AN52" s="13">
        <v>0.24489795918367349</v>
      </c>
      <c r="AO52" s="13">
        <v>0</v>
      </c>
      <c r="AP52" s="13">
        <v>0</v>
      </c>
      <c r="AQ52" s="13">
        <v>0</v>
      </c>
      <c r="AR52" s="13">
        <v>100</v>
      </c>
      <c r="AS52" s="13">
        <v>0</v>
      </c>
      <c r="AT52" s="13">
        <v>0</v>
      </c>
      <c r="AU52" s="14">
        <v>3.8461538461538464E-2</v>
      </c>
      <c r="AV52" s="14">
        <v>0</v>
      </c>
      <c r="AW52" s="14">
        <v>2.7397260273972601E-2</v>
      </c>
    </row>
    <row r="53" spans="1:49" s="13" customFormat="1" x14ac:dyDescent="0.25">
      <c r="A53" s="12">
        <v>51</v>
      </c>
      <c r="B53" s="13" t="s">
        <v>49</v>
      </c>
      <c r="C53" s="13">
        <v>1</v>
      </c>
      <c r="D53" s="13" t="s">
        <v>50</v>
      </c>
      <c r="E53" s="13" t="s">
        <v>59</v>
      </c>
      <c r="F53" s="13" t="s">
        <v>60</v>
      </c>
      <c r="G53" s="13" t="s">
        <v>64</v>
      </c>
      <c r="H53" s="13">
        <v>1</v>
      </c>
      <c r="I53" s="13">
        <v>1</v>
      </c>
      <c r="J53" s="13">
        <v>13</v>
      </c>
      <c r="K53" s="13" t="s">
        <v>114</v>
      </c>
      <c r="L53" s="13">
        <v>30.383333333333329</v>
      </c>
      <c r="M53" s="13">
        <v>4</v>
      </c>
      <c r="N53" s="13">
        <v>1</v>
      </c>
      <c r="O53" s="13">
        <v>3</v>
      </c>
      <c r="P53" s="13">
        <v>33.299999999999997</v>
      </c>
      <c r="Q53" s="13">
        <v>0</v>
      </c>
      <c r="R53" s="13">
        <v>5</v>
      </c>
      <c r="S53" s="13">
        <v>0</v>
      </c>
      <c r="T53" s="13">
        <v>1</v>
      </c>
      <c r="U53" s="13">
        <v>8</v>
      </c>
      <c r="V53" s="13">
        <v>12.5</v>
      </c>
      <c r="W53" s="13">
        <v>2</v>
      </c>
      <c r="X53" s="13">
        <v>4</v>
      </c>
      <c r="Y53" s="13">
        <v>50</v>
      </c>
      <c r="Z53" s="13">
        <v>0</v>
      </c>
      <c r="AA53" s="13">
        <v>3</v>
      </c>
      <c r="AB53" s="13">
        <v>3</v>
      </c>
      <c r="AC53" s="13">
        <v>2</v>
      </c>
      <c r="AD53" s="13">
        <v>1</v>
      </c>
      <c r="AE53" s="13">
        <v>4</v>
      </c>
      <c r="AF53" s="13">
        <v>1</v>
      </c>
      <c r="AG53" s="13">
        <v>0</v>
      </c>
      <c r="AH53" s="13">
        <v>0</v>
      </c>
      <c r="AI53" s="13">
        <v>2</v>
      </c>
      <c r="AJ53" s="13">
        <v>3</v>
      </c>
      <c r="AK53" s="13">
        <v>-1</v>
      </c>
      <c r="AL53" s="13">
        <v>18</v>
      </c>
      <c r="AM53" s="13">
        <v>13.76</v>
      </c>
      <c r="AN53" s="13">
        <v>0.4528798683488755</v>
      </c>
      <c r="AO53" s="13">
        <v>20.49</v>
      </c>
      <c r="AP53" s="13">
        <v>29.07</v>
      </c>
      <c r="AQ53" s="13">
        <v>0.25</v>
      </c>
      <c r="AR53" s="13">
        <v>30.74</v>
      </c>
      <c r="AS53" s="13">
        <v>51.23</v>
      </c>
      <c r="AT53" s="13">
        <v>18.03</v>
      </c>
      <c r="AU53" s="14">
        <v>5.7692307692307696E-2</v>
      </c>
      <c r="AV53" s="14">
        <v>0.23809523809523808</v>
      </c>
      <c r="AW53" s="14">
        <v>0.1095890410958904</v>
      </c>
    </row>
    <row r="54" spans="1:49" s="13" customFormat="1" x14ac:dyDescent="0.25">
      <c r="A54" s="12">
        <v>52</v>
      </c>
      <c r="B54" s="13" t="s">
        <v>49</v>
      </c>
      <c r="C54" s="13">
        <v>1</v>
      </c>
      <c r="D54" s="13" t="s">
        <v>50</v>
      </c>
      <c r="E54" s="13" t="s">
        <v>59</v>
      </c>
      <c r="F54" s="13" t="s">
        <v>60</v>
      </c>
      <c r="G54" s="13" t="s">
        <v>64</v>
      </c>
      <c r="H54" s="13">
        <v>1</v>
      </c>
      <c r="I54" s="13">
        <v>1</v>
      </c>
      <c r="J54" s="13">
        <v>14</v>
      </c>
      <c r="K54" s="13" t="s">
        <v>115</v>
      </c>
      <c r="L54" s="13">
        <v>15.15</v>
      </c>
      <c r="M54" s="13">
        <v>10</v>
      </c>
      <c r="N54" s="13">
        <v>5</v>
      </c>
      <c r="O54" s="13">
        <v>10</v>
      </c>
      <c r="P54" s="13">
        <v>50</v>
      </c>
      <c r="Q54" s="13">
        <v>0</v>
      </c>
      <c r="R54" s="13">
        <v>0</v>
      </c>
      <c r="S54" s="13">
        <v>0</v>
      </c>
      <c r="T54" s="13">
        <v>5</v>
      </c>
      <c r="U54" s="13">
        <v>10</v>
      </c>
      <c r="V54" s="13">
        <v>50</v>
      </c>
      <c r="W54" s="13">
        <v>0</v>
      </c>
      <c r="X54" s="13">
        <v>1</v>
      </c>
      <c r="Y54" s="13">
        <v>0</v>
      </c>
      <c r="Z54" s="13">
        <v>1</v>
      </c>
      <c r="AA54" s="13">
        <v>3</v>
      </c>
      <c r="AB54" s="13">
        <v>4</v>
      </c>
      <c r="AC54" s="13">
        <v>0</v>
      </c>
      <c r="AD54" s="13">
        <v>0</v>
      </c>
      <c r="AE54" s="13">
        <v>2</v>
      </c>
      <c r="AF54" s="13">
        <v>0</v>
      </c>
      <c r="AG54" s="13">
        <v>0</v>
      </c>
      <c r="AH54" s="13">
        <v>0</v>
      </c>
      <c r="AI54" s="13">
        <v>4</v>
      </c>
      <c r="AJ54" s="13">
        <v>1</v>
      </c>
      <c r="AK54" s="13">
        <v>3</v>
      </c>
      <c r="AL54" s="13">
        <v>1</v>
      </c>
      <c r="AM54" s="13">
        <v>12.44</v>
      </c>
      <c r="AN54" s="13">
        <v>0.82112211221122111</v>
      </c>
      <c r="AO54" s="13">
        <v>47.89</v>
      </c>
      <c r="AP54" s="13">
        <v>16.079999999999998</v>
      </c>
      <c r="AQ54" s="13">
        <v>0</v>
      </c>
      <c r="AR54" s="13">
        <v>95.79</v>
      </c>
      <c r="AS54" s="13">
        <v>0</v>
      </c>
      <c r="AT54" s="13">
        <v>4.21</v>
      </c>
      <c r="AU54" s="14">
        <v>0.19230769230769232</v>
      </c>
      <c r="AV54" s="14">
        <v>0</v>
      </c>
      <c r="AW54" s="14">
        <v>0.13698630136986301</v>
      </c>
    </row>
    <row r="55" spans="1:49" s="16" customFormat="1" x14ac:dyDescent="0.25">
      <c r="A55" s="15">
        <v>53</v>
      </c>
      <c r="B55" s="16" t="s">
        <v>49</v>
      </c>
      <c r="C55" s="16">
        <v>1</v>
      </c>
      <c r="D55" s="16" t="s">
        <v>50</v>
      </c>
      <c r="E55" s="16" t="s">
        <v>59</v>
      </c>
      <c r="F55" s="16" t="s">
        <v>60</v>
      </c>
      <c r="G55" s="16" t="s">
        <v>64</v>
      </c>
      <c r="H55" s="16">
        <v>1</v>
      </c>
      <c r="I55" s="16">
        <v>0</v>
      </c>
      <c r="J55" s="16">
        <v>18</v>
      </c>
      <c r="K55" s="16" t="s">
        <v>116</v>
      </c>
      <c r="L55" s="16">
        <v>7.2</v>
      </c>
      <c r="M55" s="16">
        <v>3</v>
      </c>
      <c r="N55" s="16">
        <v>1</v>
      </c>
      <c r="O55" s="16">
        <v>1</v>
      </c>
      <c r="P55" s="16">
        <v>100</v>
      </c>
      <c r="Q55" s="16">
        <v>0</v>
      </c>
      <c r="R55" s="16">
        <v>0</v>
      </c>
      <c r="S55" s="16">
        <v>0</v>
      </c>
      <c r="T55" s="16">
        <v>1</v>
      </c>
      <c r="U55" s="16">
        <v>1</v>
      </c>
      <c r="V55" s="16">
        <v>100</v>
      </c>
      <c r="W55" s="16">
        <v>1</v>
      </c>
      <c r="X55" s="16">
        <v>3</v>
      </c>
      <c r="Y55" s="16">
        <v>33.299999999999997</v>
      </c>
      <c r="Z55" s="16">
        <v>1</v>
      </c>
      <c r="AA55" s="16">
        <v>1</v>
      </c>
      <c r="AB55" s="16">
        <v>2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2</v>
      </c>
      <c r="AK55" s="16">
        <v>5</v>
      </c>
      <c r="AL55" s="16">
        <v>-1</v>
      </c>
      <c r="AM55" s="16">
        <v>2.3199999999999998</v>
      </c>
      <c r="AN55" s="16">
        <v>0.32222222222222219</v>
      </c>
      <c r="AO55" s="16">
        <v>64.66</v>
      </c>
      <c r="AP55" s="16">
        <v>0</v>
      </c>
      <c r="AQ55" s="16">
        <v>1</v>
      </c>
      <c r="AR55" s="16">
        <v>43.1</v>
      </c>
      <c r="AS55" s="16">
        <v>0</v>
      </c>
      <c r="AT55" s="16">
        <v>56.9</v>
      </c>
      <c r="AU55" s="17">
        <v>1.9230769230769232E-2</v>
      </c>
      <c r="AV55" s="17">
        <v>0</v>
      </c>
      <c r="AW55" s="17">
        <v>1.3698630136986301E-2</v>
      </c>
    </row>
    <row r="56" spans="1:49" s="16" customFormat="1" x14ac:dyDescent="0.25">
      <c r="A56" s="15">
        <v>54</v>
      </c>
      <c r="B56" s="16" t="s">
        <v>49</v>
      </c>
      <c r="C56" s="16">
        <v>1</v>
      </c>
      <c r="D56" s="16" t="s">
        <v>50</v>
      </c>
      <c r="E56" s="16" t="s">
        <v>59</v>
      </c>
      <c r="F56" s="16" t="s">
        <v>60</v>
      </c>
      <c r="G56" s="16" t="s">
        <v>64</v>
      </c>
      <c r="H56" s="16">
        <v>1</v>
      </c>
      <c r="I56" s="16">
        <v>1</v>
      </c>
      <c r="J56" s="16">
        <v>19</v>
      </c>
      <c r="K56" s="16" t="s">
        <v>117</v>
      </c>
      <c r="L56" s="16">
        <v>33.43333333333333</v>
      </c>
      <c r="M56" s="16">
        <v>16</v>
      </c>
      <c r="N56" s="16">
        <v>5</v>
      </c>
      <c r="O56" s="16">
        <v>10</v>
      </c>
      <c r="P56" s="16">
        <v>50</v>
      </c>
      <c r="Q56" s="16">
        <v>1</v>
      </c>
      <c r="R56" s="16">
        <v>3</v>
      </c>
      <c r="S56" s="16">
        <v>33.299999999999997</v>
      </c>
      <c r="T56" s="16">
        <v>6</v>
      </c>
      <c r="U56" s="16">
        <v>13</v>
      </c>
      <c r="V56" s="16">
        <v>46.2</v>
      </c>
      <c r="W56" s="16">
        <v>3</v>
      </c>
      <c r="X56" s="16">
        <v>8</v>
      </c>
      <c r="Y56" s="16">
        <v>37.5</v>
      </c>
      <c r="Z56" s="16">
        <v>4</v>
      </c>
      <c r="AA56" s="16">
        <v>5</v>
      </c>
      <c r="AB56" s="16">
        <v>9</v>
      </c>
      <c r="AC56" s="16">
        <v>4</v>
      </c>
      <c r="AD56" s="16">
        <v>2</v>
      </c>
      <c r="AE56" s="16">
        <v>4</v>
      </c>
      <c r="AF56" s="16">
        <v>1</v>
      </c>
      <c r="AG56" s="16">
        <v>0</v>
      </c>
      <c r="AH56" s="16">
        <v>0</v>
      </c>
      <c r="AI56" s="16">
        <v>2</v>
      </c>
      <c r="AJ56" s="16">
        <v>7</v>
      </c>
      <c r="AK56" s="16">
        <v>21</v>
      </c>
      <c r="AL56" s="16">
        <v>13</v>
      </c>
      <c r="AM56" s="16">
        <v>20.52</v>
      </c>
      <c r="AN56" s="16">
        <v>0.61375872382851449</v>
      </c>
      <c r="AO56" s="16">
        <v>48.43</v>
      </c>
      <c r="AP56" s="16">
        <v>19.489999999999998</v>
      </c>
      <c r="AQ56" s="16">
        <v>0.23076923076923081</v>
      </c>
      <c r="AR56" s="16">
        <v>60.53</v>
      </c>
      <c r="AS56" s="16">
        <v>18.16</v>
      </c>
      <c r="AT56" s="16">
        <v>21.31</v>
      </c>
      <c r="AU56" s="17">
        <v>0.19230769230769232</v>
      </c>
      <c r="AV56" s="17">
        <v>0.14285714285714285</v>
      </c>
      <c r="AW56" s="17">
        <v>0.17808219178082191</v>
      </c>
    </row>
    <row r="57" spans="1:49" s="16" customFormat="1" x14ac:dyDescent="0.25">
      <c r="A57" s="15">
        <v>55</v>
      </c>
      <c r="B57" s="16" t="s">
        <v>49</v>
      </c>
      <c r="C57" s="16">
        <v>1</v>
      </c>
      <c r="D57" s="16" t="s">
        <v>50</v>
      </c>
      <c r="E57" s="16" t="s">
        <v>59</v>
      </c>
      <c r="F57" s="16" t="s">
        <v>60</v>
      </c>
      <c r="G57" s="16" t="s">
        <v>64</v>
      </c>
      <c r="H57" s="16">
        <v>1</v>
      </c>
      <c r="I57" s="16">
        <v>0</v>
      </c>
      <c r="J57" s="16">
        <v>21</v>
      </c>
      <c r="K57" s="16" t="s">
        <v>118</v>
      </c>
      <c r="L57" s="16">
        <v>5.3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1</v>
      </c>
      <c r="S57" s="16">
        <v>0</v>
      </c>
      <c r="T57" s="16">
        <v>0</v>
      </c>
      <c r="U57" s="16">
        <v>1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1</v>
      </c>
      <c r="AE57" s="16">
        <v>1</v>
      </c>
      <c r="AF57" s="16">
        <v>0</v>
      </c>
      <c r="AG57" s="16">
        <v>0</v>
      </c>
      <c r="AH57" s="16">
        <v>0</v>
      </c>
      <c r="AI57" s="16">
        <v>3</v>
      </c>
      <c r="AJ57" s="16">
        <v>0</v>
      </c>
      <c r="AK57" s="16">
        <v>-4</v>
      </c>
      <c r="AL57" s="16">
        <v>-1</v>
      </c>
      <c r="AM57" s="16">
        <v>2</v>
      </c>
      <c r="AN57" s="16">
        <v>0.37735849056603782</v>
      </c>
      <c r="AO57" s="16">
        <v>0</v>
      </c>
      <c r="AP57" s="16">
        <v>50</v>
      </c>
      <c r="AQ57" s="16">
        <v>0</v>
      </c>
      <c r="AR57" s="16">
        <v>0</v>
      </c>
      <c r="AS57" s="16">
        <v>100</v>
      </c>
      <c r="AT57" s="16">
        <v>0</v>
      </c>
      <c r="AU57" s="17">
        <v>0</v>
      </c>
      <c r="AV57" s="17">
        <v>4.7619047619047616E-2</v>
      </c>
      <c r="AW57" s="17">
        <v>1.3698630136986301E-2</v>
      </c>
    </row>
    <row r="58" spans="1:49" x14ac:dyDescent="0.25">
      <c r="A58" s="1">
        <v>56</v>
      </c>
      <c r="B58" t="s">
        <v>49</v>
      </c>
      <c r="C58">
        <v>1</v>
      </c>
      <c r="D58" t="s">
        <v>50</v>
      </c>
      <c r="E58" t="s">
        <v>59</v>
      </c>
      <c r="F58" t="s">
        <v>60</v>
      </c>
      <c r="G58" t="s">
        <v>64</v>
      </c>
      <c r="H58">
        <v>1</v>
      </c>
      <c r="I58">
        <v>0</v>
      </c>
      <c r="J58">
        <v>23</v>
      </c>
      <c r="K58" t="s">
        <v>119</v>
      </c>
      <c r="L58">
        <v>21.416666666666671</v>
      </c>
      <c r="M58">
        <v>13</v>
      </c>
      <c r="N58">
        <v>5</v>
      </c>
      <c r="O58">
        <v>11</v>
      </c>
      <c r="P58">
        <v>45.5</v>
      </c>
      <c r="Q58">
        <v>0</v>
      </c>
      <c r="R58">
        <v>2</v>
      </c>
      <c r="S58">
        <v>0</v>
      </c>
      <c r="T58">
        <v>5</v>
      </c>
      <c r="U58">
        <v>13</v>
      </c>
      <c r="V58">
        <v>38.5</v>
      </c>
      <c r="W58">
        <v>3</v>
      </c>
      <c r="X58">
        <v>3</v>
      </c>
      <c r="Y58">
        <v>100</v>
      </c>
      <c r="Z58">
        <v>3</v>
      </c>
      <c r="AA58">
        <v>2</v>
      </c>
      <c r="AB58">
        <v>5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4</v>
      </c>
      <c r="AK58">
        <v>14</v>
      </c>
      <c r="AL58">
        <v>14</v>
      </c>
      <c r="AM58">
        <v>14.32</v>
      </c>
      <c r="AN58">
        <v>0.66863813229571978</v>
      </c>
      <c r="AO58">
        <v>45.39</v>
      </c>
      <c r="AP58">
        <v>0</v>
      </c>
      <c r="AQ58">
        <v>0.23076923076923081</v>
      </c>
      <c r="AR58">
        <v>76.819999999999993</v>
      </c>
      <c r="AS58">
        <v>13.97</v>
      </c>
      <c r="AT58">
        <v>9.2200000000000006</v>
      </c>
      <c r="AU58" s="3">
        <v>0.21153846153846154</v>
      </c>
      <c r="AV58" s="3">
        <v>9.5238095238095233E-2</v>
      </c>
      <c r="AW58" s="3">
        <v>0.17808219178082191</v>
      </c>
    </row>
    <row r="59" spans="1:49" x14ac:dyDescent="0.25">
      <c r="A59" s="1">
        <v>57</v>
      </c>
      <c r="B59" t="s">
        <v>49</v>
      </c>
      <c r="C59">
        <v>1</v>
      </c>
      <c r="D59" t="s">
        <v>50</v>
      </c>
      <c r="E59" t="s">
        <v>59</v>
      </c>
      <c r="F59" t="s">
        <v>60</v>
      </c>
      <c r="G59" t="s">
        <v>64</v>
      </c>
      <c r="H59">
        <v>1</v>
      </c>
      <c r="I59">
        <v>0</v>
      </c>
      <c r="J59">
        <v>30</v>
      </c>
      <c r="K59" t="s">
        <v>120</v>
      </c>
      <c r="L59">
        <v>6.3</v>
      </c>
      <c r="M59">
        <v>3</v>
      </c>
      <c r="N59">
        <v>0</v>
      </c>
      <c r="O59">
        <v>0</v>
      </c>
      <c r="P59">
        <v>0</v>
      </c>
      <c r="Q59">
        <v>1</v>
      </c>
      <c r="R59">
        <v>4</v>
      </c>
      <c r="S59">
        <v>25</v>
      </c>
      <c r="T59">
        <v>1</v>
      </c>
      <c r="U59">
        <v>4</v>
      </c>
      <c r="V59">
        <v>25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-5</v>
      </c>
      <c r="AM59">
        <v>4</v>
      </c>
      <c r="AN59">
        <v>0.63492063492063489</v>
      </c>
      <c r="AO59">
        <v>37.5</v>
      </c>
      <c r="AP59">
        <v>0</v>
      </c>
      <c r="AQ59">
        <v>0</v>
      </c>
      <c r="AR59">
        <v>0</v>
      </c>
      <c r="AS59">
        <v>100</v>
      </c>
      <c r="AT59">
        <v>0</v>
      </c>
      <c r="AU59" s="3">
        <v>0</v>
      </c>
      <c r="AV59" s="3">
        <v>0.19047619047619047</v>
      </c>
      <c r="AW59" s="3">
        <v>5.4794520547945202E-2</v>
      </c>
    </row>
    <row r="60" spans="1:49" x14ac:dyDescent="0.25">
      <c r="A60" s="1">
        <v>58</v>
      </c>
      <c r="B60" t="s">
        <v>49</v>
      </c>
      <c r="C60">
        <v>1</v>
      </c>
      <c r="D60" t="s">
        <v>50</v>
      </c>
      <c r="E60" t="s">
        <v>59</v>
      </c>
      <c r="F60" t="s">
        <v>60</v>
      </c>
      <c r="G60" t="s">
        <v>64</v>
      </c>
      <c r="H60">
        <v>1</v>
      </c>
      <c r="I60">
        <v>0</v>
      </c>
      <c r="K60" t="s">
        <v>77</v>
      </c>
      <c r="L60">
        <v>200</v>
      </c>
      <c r="M60">
        <v>61</v>
      </c>
      <c r="N60">
        <v>21</v>
      </c>
      <c r="O60">
        <v>52</v>
      </c>
      <c r="P60">
        <v>40.4</v>
      </c>
      <c r="Q60">
        <v>2</v>
      </c>
      <c r="R60">
        <v>21</v>
      </c>
      <c r="S60">
        <v>9.5</v>
      </c>
      <c r="T60">
        <v>23</v>
      </c>
      <c r="U60">
        <v>73</v>
      </c>
      <c r="V60">
        <v>31.5</v>
      </c>
      <c r="W60">
        <v>13</v>
      </c>
      <c r="X60">
        <v>26</v>
      </c>
      <c r="Y60">
        <v>50</v>
      </c>
      <c r="Z60">
        <v>14</v>
      </c>
      <c r="AA60">
        <v>29</v>
      </c>
      <c r="AB60">
        <v>43</v>
      </c>
      <c r="AC60">
        <v>8</v>
      </c>
      <c r="AD60">
        <v>9</v>
      </c>
      <c r="AE60">
        <v>12</v>
      </c>
      <c r="AF60">
        <v>5</v>
      </c>
      <c r="AG60">
        <v>1</v>
      </c>
      <c r="AH60">
        <v>0</v>
      </c>
      <c r="AI60">
        <v>18</v>
      </c>
      <c r="AJ60">
        <v>25</v>
      </c>
      <c r="AK60">
        <v>58</v>
      </c>
      <c r="AM60">
        <v>96.44</v>
      </c>
      <c r="AN60">
        <v>0.48220000000000002</v>
      </c>
      <c r="AO60">
        <v>36.119999999999997</v>
      </c>
      <c r="AP60">
        <v>12.44</v>
      </c>
      <c r="AQ60">
        <v>0.17808219178082191</v>
      </c>
      <c r="AR60">
        <v>61.58</v>
      </c>
      <c r="AS60">
        <v>24.87</v>
      </c>
      <c r="AT60">
        <v>13.55</v>
      </c>
    </row>
    <row r="61" spans="1:49" x14ac:dyDescent="0.25">
      <c r="A61" s="1">
        <v>59</v>
      </c>
      <c r="B61" t="s">
        <v>50</v>
      </c>
      <c r="C61">
        <v>1</v>
      </c>
      <c r="D61" t="s">
        <v>49</v>
      </c>
      <c r="E61" t="s">
        <v>59</v>
      </c>
      <c r="F61" t="s">
        <v>60</v>
      </c>
      <c r="G61" t="s">
        <v>65</v>
      </c>
      <c r="H61">
        <v>0</v>
      </c>
      <c r="I61">
        <v>0</v>
      </c>
      <c r="J61">
        <v>4</v>
      </c>
      <c r="K61" t="s">
        <v>121</v>
      </c>
      <c r="L61">
        <v>9.3166666666666664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1</v>
      </c>
      <c r="AC61">
        <v>1</v>
      </c>
      <c r="AD61">
        <v>1</v>
      </c>
      <c r="AE61">
        <v>1</v>
      </c>
      <c r="AF61">
        <v>0</v>
      </c>
      <c r="AG61">
        <v>0</v>
      </c>
      <c r="AH61">
        <v>0</v>
      </c>
      <c r="AI61">
        <v>2</v>
      </c>
      <c r="AJ61">
        <v>0</v>
      </c>
      <c r="AK61">
        <v>-1</v>
      </c>
      <c r="AL61">
        <v>4</v>
      </c>
      <c r="AM61">
        <v>2</v>
      </c>
      <c r="AN61">
        <v>0.21466905187835419</v>
      </c>
      <c r="AO61">
        <v>0</v>
      </c>
      <c r="AP61">
        <v>50</v>
      </c>
      <c r="AQ61">
        <v>0</v>
      </c>
      <c r="AR61">
        <v>100</v>
      </c>
      <c r="AS61">
        <v>0</v>
      </c>
      <c r="AT61">
        <v>0</v>
      </c>
    </row>
    <row r="62" spans="1:49" x14ac:dyDescent="0.25">
      <c r="A62" s="1">
        <v>60</v>
      </c>
      <c r="B62" t="s">
        <v>50</v>
      </c>
      <c r="C62">
        <v>1</v>
      </c>
      <c r="D62" t="s">
        <v>49</v>
      </c>
      <c r="E62" t="s">
        <v>59</v>
      </c>
      <c r="F62" t="s">
        <v>60</v>
      </c>
      <c r="G62" t="s">
        <v>65</v>
      </c>
      <c r="H62">
        <v>0</v>
      </c>
      <c r="I62">
        <v>1</v>
      </c>
      <c r="J62">
        <v>5</v>
      </c>
      <c r="K62" t="s">
        <v>122</v>
      </c>
      <c r="L62">
        <v>25.7</v>
      </c>
      <c r="M62">
        <v>7</v>
      </c>
      <c r="N62">
        <v>2</v>
      </c>
      <c r="O62">
        <v>4</v>
      </c>
      <c r="P62">
        <v>50</v>
      </c>
      <c r="Q62">
        <v>0</v>
      </c>
      <c r="R62">
        <v>1</v>
      </c>
      <c r="S62">
        <v>0</v>
      </c>
      <c r="T62">
        <v>2</v>
      </c>
      <c r="U62">
        <v>5</v>
      </c>
      <c r="V62">
        <v>40</v>
      </c>
      <c r="W62">
        <v>3</v>
      </c>
      <c r="X62">
        <v>5</v>
      </c>
      <c r="Y62">
        <v>60</v>
      </c>
      <c r="Z62">
        <v>1</v>
      </c>
      <c r="AA62">
        <v>1</v>
      </c>
      <c r="AB62">
        <v>2</v>
      </c>
      <c r="AC62">
        <v>1</v>
      </c>
      <c r="AD62">
        <v>2</v>
      </c>
      <c r="AE62">
        <v>4</v>
      </c>
      <c r="AF62">
        <v>0</v>
      </c>
      <c r="AG62">
        <v>0</v>
      </c>
      <c r="AH62">
        <v>0</v>
      </c>
      <c r="AI62">
        <v>3</v>
      </c>
      <c r="AJ62">
        <v>5</v>
      </c>
      <c r="AK62">
        <v>5</v>
      </c>
      <c r="AL62">
        <v>-13</v>
      </c>
      <c r="AM62">
        <v>11.2</v>
      </c>
      <c r="AN62">
        <v>0.43579766536964981</v>
      </c>
      <c r="AO62">
        <v>48.61</v>
      </c>
      <c r="AP62">
        <v>35.71</v>
      </c>
      <c r="AQ62">
        <v>0.6</v>
      </c>
      <c r="AR62">
        <v>55.56</v>
      </c>
      <c r="AS62">
        <v>13.89</v>
      </c>
      <c r="AT62">
        <v>30.56</v>
      </c>
    </row>
    <row r="63" spans="1:49" x14ac:dyDescent="0.25">
      <c r="A63" s="1">
        <v>61</v>
      </c>
      <c r="B63" t="s">
        <v>50</v>
      </c>
      <c r="C63">
        <v>1</v>
      </c>
      <c r="D63" t="s">
        <v>49</v>
      </c>
      <c r="E63" t="s">
        <v>59</v>
      </c>
      <c r="F63" t="s">
        <v>60</v>
      </c>
      <c r="G63" t="s">
        <v>65</v>
      </c>
      <c r="H63">
        <v>0</v>
      </c>
      <c r="I63">
        <v>0</v>
      </c>
      <c r="J63">
        <v>6</v>
      </c>
      <c r="K63" t="s">
        <v>123</v>
      </c>
      <c r="L63">
        <v>18.55</v>
      </c>
      <c r="M63">
        <v>5</v>
      </c>
      <c r="N63">
        <v>0</v>
      </c>
      <c r="O63">
        <v>2</v>
      </c>
      <c r="P63">
        <v>0</v>
      </c>
      <c r="Q63">
        <v>1</v>
      </c>
      <c r="R63">
        <v>2</v>
      </c>
      <c r="S63">
        <v>50</v>
      </c>
      <c r="T63">
        <v>1</v>
      </c>
      <c r="U63">
        <v>4</v>
      </c>
      <c r="V63">
        <v>25</v>
      </c>
      <c r="W63">
        <v>2</v>
      </c>
      <c r="X63">
        <v>2</v>
      </c>
      <c r="Y63">
        <v>100</v>
      </c>
      <c r="Z63">
        <v>0</v>
      </c>
      <c r="AA63">
        <v>2</v>
      </c>
      <c r="AB63">
        <v>2</v>
      </c>
      <c r="AC63">
        <v>1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2</v>
      </c>
      <c r="AK63">
        <v>6</v>
      </c>
      <c r="AL63">
        <v>-7</v>
      </c>
      <c r="AM63">
        <v>5.88</v>
      </c>
      <c r="AN63">
        <v>0.31698113207547168</v>
      </c>
      <c r="AO63">
        <v>51.23</v>
      </c>
      <c r="AP63">
        <v>17.010000000000002</v>
      </c>
      <c r="AQ63">
        <v>0.5</v>
      </c>
      <c r="AR63">
        <v>40.98</v>
      </c>
      <c r="AS63">
        <v>40.98</v>
      </c>
      <c r="AT63">
        <v>18.03</v>
      </c>
    </row>
    <row r="64" spans="1:49" x14ac:dyDescent="0.25">
      <c r="A64" s="1">
        <v>62</v>
      </c>
      <c r="B64" t="s">
        <v>50</v>
      </c>
      <c r="C64">
        <v>1</v>
      </c>
      <c r="D64" t="s">
        <v>49</v>
      </c>
      <c r="E64" t="s">
        <v>59</v>
      </c>
      <c r="F64" t="s">
        <v>60</v>
      </c>
      <c r="G64" t="s">
        <v>65</v>
      </c>
      <c r="H64">
        <v>0</v>
      </c>
      <c r="I64">
        <v>0</v>
      </c>
      <c r="J64">
        <v>8</v>
      </c>
      <c r="K64" t="s">
        <v>124</v>
      </c>
      <c r="L64">
        <v>1.1833333333333329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1</v>
      </c>
      <c r="AM64">
        <v>0</v>
      </c>
      <c r="AN64">
        <v>0</v>
      </c>
      <c r="AR64">
        <v>0</v>
      </c>
      <c r="AS64">
        <v>0</v>
      </c>
      <c r="AT64">
        <v>0</v>
      </c>
    </row>
    <row r="65" spans="1:46" x14ac:dyDescent="0.25">
      <c r="A65" s="1">
        <v>63</v>
      </c>
      <c r="B65" t="s">
        <v>50</v>
      </c>
      <c r="C65">
        <v>1</v>
      </c>
      <c r="D65" t="s">
        <v>49</v>
      </c>
      <c r="E65" t="s">
        <v>59</v>
      </c>
      <c r="F65" t="s">
        <v>60</v>
      </c>
      <c r="G65" t="s">
        <v>65</v>
      </c>
      <c r="H65">
        <v>0</v>
      </c>
      <c r="I65">
        <v>1</v>
      </c>
      <c r="J65">
        <v>9</v>
      </c>
      <c r="K65" t="s">
        <v>125</v>
      </c>
      <c r="L65">
        <v>22.45</v>
      </c>
      <c r="M65">
        <v>10</v>
      </c>
      <c r="N65">
        <v>4</v>
      </c>
      <c r="O65">
        <v>8</v>
      </c>
      <c r="P65">
        <v>50</v>
      </c>
      <c r="Q65">
        <v>0</v>
      </c>
      <c r="R65">
        <v>1</v>
      </c>
      <c r="S65">
        <v>0</v>
      </c>
      <c r="T65">
        <v>4</v>
      </c>
      <c r="U65">
        <v>9</v>
      </c>
      <c r="V65">
        <v>44.4</v>
      </c>
      <c r="W65">
        <v>2</v>
      </c>
      <c r="X65">
        <v>5</v>
      </c>
      <c r="Y65">
        <v>40</v>
      </c>
      <c r="Z65">
        <v>2</v>
      </c>
      <c r="AA65">
        <v>7</v>
      </c>
      <c r="AB65">
        <v>9</v>
      </c>
      <c r="AC65">
        <v>4</v>
      </c>
      <c r="AD65">
        <v>0</v>
      </c>
      <c r="AE65">
        <v>2</v>
      </c>
      <c r="AF65">
        <v>0</v>
      </c>
      <c r="AG65">
        <v>1</v>
      </c>
      <c r="AH65">
        <v>0</v>
      </c>
      <c r="AI65">
        <v>3</v>
      </c>
      <c r="AJ65">
        <v>5</v>
      </c>
      <c r="AK65">
        <v>15</v>
      </c>
      <c r="AL65">
        <v>0</v>
      </c>
      <c r="AM65">
        <v>13.2</v>
      </c>
      <c r="AN65">
        <v>0.58797327394209353</v>
      </c>
      <c r="AO65">
        <v>44.64</v>
      </c>
      <c r="AP65">
        <v>15.15</v>
      </c>
      <c r="AQ65">
        <v>0.22222222222222221</v>
      </c>
      <c r="AR65">
        <v>71.430000000000007</v>
      </c>
      <c r="AS65">
        <v>8.93</v>
      </c>
      <c r="AT65">
        <v>19.64</v>
      </c>
    </row>
    <row r="66" spans="1:46" x14ac:dyDescent="0.25">
      <c r="A66" s="1">
        <v>64</v>
      </c>
      <c r="B66" t="s">
        <v>50</v>
      </c>
      <c r="C66">
        <v>1</v>
      </c>
      <c r="D66" t="s">
        <v>49</v>
      </c>
      <c r="E66" t="s">
        <v>59</v>
      </c>
      <c r="F66" t="s">
        <v>60</v>
      </c>
      <c r="G66" t="s">
        <v>65</v>
      </c>
      <c r="H66">
        <v>0</v>
      </c>
      <c r="I66">
        <v>1</v>
      </c>
      <c r="J66">
        <v>10</v>
      </c>
      <c r="K66" t="s">
        <v>126</v>
      </c>
      <c r="L66">
        <v>24.083333333333329</v>
      </c>
      <c r="M66">
        <v>0</v>
      </c>
      <c r="N66">
        <v>0</v>
      </c>
      <c r="O66">
        <v>4</v>
      </c>
      <c r="P66">
        <v>0</v>
      </c>
      <c r="Q66">
        <v>0</v>
      </c>
      <c r="R66">
        <v>3</v>
      </c>
      <c r="S66">
        <v>0</v>
      </c>
      <c r="T66">
        <v>0</v>
      </c>
      <c r="U66">
        <v>7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3</v>
      </c>
      <c r="AC66">
        <v>2</v>
      </c>
      <c r="AD66">
        <v>1</v>
      </c>
      <c r="AE66">
        <v>2</v>
      </c>
      <c r="AF66">
        <v>0</v>
      </c>
      <c r="AG66">
        <v>1</v>
      </c>
      <c r="AH66">
        <v>0</v>
      </c>
      <c r="AI66">
        <v>5</v>
      </c>
      <c r="AJ66">
        <v>0</v>
      </c>
      <c r="AK66">
        <v>-8</v>
      </c>
      <c r="AL66">
        <v>-5</v>
      </c>
      <c r="AM66">
        <v>9</v>
      </c>
      <c r="AN66">
        <v>0.37370242214532873</v>
      </c>
      <c r="AO66">
        <v>0</v>
      </c>
      <c r="AP66">
        <v>22.22</v>
      </c>
      <c r="AQ66">
        <v>0</v>
      </c>
      <c r="AR66">
        <v>57.14</v>
      </c>
      <c r="AS66">
        <v>42.86</v>
      </c>
      <c r="AT66">
        <v>0</v>
      </c>
    </row>
    <row r="67" spans="1:46" x14ac:dyDescent="0.25">
      <c r="A67" s="1">
        <v>65</v>
      </c>
      <c r="B67" t="s">
        <v>50</v>
      </c>
      <c r="C67">
        <v>1</v>
      </c>
      <c r="D67" t="s">
        <v>49</v>
      </c>
      <c r="E67" t="s">
        <v>59</v>
      </c>
      <c r="F67" t="s">
        <v>60</v>
      </c>
      <c r="G67" t="s">
        <v>65</v>
      </c>
      <c r="H67">
        <v>0</v>
      </c>
      <c r="I67">
        <v>0</v>
      </c>
      <c r="J67">
        <v>11</v>
      </c>
      <c r="K67" t="s">
        <v>127</v>
      </c>
      <c r="L67">
        <v>12.53333333333333</v>
      </c>
      <c r="M67">
        <v>5</v>
      </c>
      <c r="N67">
        <v>1</v>
      </c>
      <c r="O67">
        <v>1</v>
      </c>
      <c r="P67">
        <v>100</v>
      </c>
      <c r="Q67">
        <v>1</v>
      </c>
      <c r="R67">
        <v>3</v>
      </c>
      <c r="S67">
        <v>33.299999999999997</v>
      </c>
      <c r="T67">
        <v>2</v>
      </c>
      <c r="U67">
        <v>4</v>
      </c>
      <c r="V67">
        <v>50</v>
      </c>
      <c r="W67">
        <v>0</v>
      </c>
      <c r="X67">
        <v>2</v>
      </c>
      <c r="Y67">
        <v>0</v>
      </c>
      <c r="Z67">
        <v>0</v>
      </c>
      <c r="AA67">
        <v>2</v>
      </c>
      <c r="AB67">
        <v>2</v>
      </c>
      <c r="AC67">
        <v>0</v>
      </c>
      <c r="AD67">
        <v>0</v>
      </c>
      <c r="AE67">
        <v>2</v>
      </c>
      <c r="AF67">
        <v>0</v>
      </c>
      <c r="AG67">
        <v>0</v>
      </c>
      <c r="AH67">
        <v>0</v>
      </c>
      <c r="AI67">
        <v>3</v>
      </c>
      <c r="AJ67">
        <v>1</v>
      </c>
      <c r="AK67">
        <v>-1</v>
      </c>
      <c r="AL67">
        <v>5</v>
      </c>
      <c r="AM67">
        <v>6.88</v>
      </c>
      <c r="AN67">
        <v>0.54893617021276597</v>
      </c>
      <c r="AO67">
        <v>51.23</v>
      </c>
      <c r="AP67">
        <v>29.07</v>
      </c>
      <c r="AQ67">
        <v>0</v>
      </c>
      <c r="AR67">
        <v>20.49</v>
      </c>
      <c r="AS67">
        <v>61.48</v>
      </c>
      <c r="AT67">
        <v>18.03</v>
      </c>
    </row>
    <row r="68" spans="1:46" x14ac:dyDescent="0.25">
      <c r="A68" s="1">
        <v>66</v>
      </c>
      <c r="B68" t="s">
        <v>50</v>
      </c>
      <c r="C68">
        <v>1</v>
      </c>
      <c r="D68" t="s">
        <v>49</v>
      </c>
      <c r="E68" t="s">
        <v>59</v>
      </c>
      <c r="F68" t="s">
        <v>60</v>
      </c>
      <c r="G68" t="s">
        <v>65</v>
      </c>
      <c r="H68">
        <v>0</v>
      </c>
      <c r="I68">
        <v>1</v>
      </c>
      <c r="J68">
        <v>13</v>
      </c>
      <c r="K68" t="s">
        <v>128</v>
      </c>
      <c r="L68">
        <v>28.43333333333333</v>
      </c>
      <c r="M68">
        <v>8</v>
      </c>
      <c r="N68">
        <v>1</v>
      </c>
      <c r="O68">
        <v>8</v>
      </c>
      <c r="P68">
        <v>12.5</v>
      </c>
      <c r="Q68">
        <v>2</v>
      </c>
      <c r="R68">
        <v>4</v>
      </c>
      <c r="S68">
        <v>50</v>
      </c>
      <c r="T68">
        <v>3</v>
      </c>
      <c r="U68">
        <v>12</v>
      </c>
      <c r="V68">
        <v>25</v>
      </c>
      <c r="W68">
        <v>0</v>
      </c>
      <c r="X68">
        <v>0</v>
      </c>
      <c r="Y68">
        <v>0</v>
      </c>
      <c r="Z68">
        <v>0</v>
      </c>
      <c r="AA68">
        <v>3</v>
      </c>
      <c r="AB68">
        <v>3</v>
      </c>
      <c r="AC68">
        <v>3</v>
      </c>
      <c r="AD68">
        <v>1</v>
      </c>
      <c r="AE68">
        <v>1</v>
      </c>
      <c r="AF68">
        <v>0</v>
      </c>
      <c r="AG68">
        <v>2</v>
      </c>
      <c r="AH68">
        <v>0</v>
      </c>
      <c r="AI68">
        <v>1</v>
      </c>
      <c r="AJ68">
        <v>1</v>
      </c>
      <c r="AK68">
        <v>5</v>
      </c>
      <c r="AL68">
        <v>-11</v>
      </c>
      <c r="AM68">
        <v>13</v>
      </c>
      <c r="AN68">
        <v>0.45720984759671751</v>
      </c>
      <c r="AO68">
        <v>33.33</v>
      </c>
      <c r="AP68">
        <v>7.69</v>
      </c>
      <c r="AQ68">
        <v>0</v>
      </c>
      <c r="AR68">
        <v>66.67</v>
      </c>
      <c r="AS68">
        <v>33.33</v>
      </c>
      <c r="AT68">
        <v>0</v>
      </c>
    </row>
    <row r="69" spans="1:46" x14ac:dyDescent="0.25">
      <c r="A69" s="1">
        <v>67</v>
      </c>
      <c r="B69" t="s">
        <v>50</v>
      </c>
      <c r="C69">
        <v>1</v>
      </c>
      <c r="D69" t="s">
        <v>49</v>
      </c>
      <c r="E69" t="s">
        <v>59</v>
      </c>
      <c r="F69" t="s">
        <v>60</v>
      </c>
      <c r="G69" t="s">
        <v>65</v>
      </c>
      <c r="H69">
        <v>0</v>
      </c>
      <c r="I69">
        <v>1</v>
      </c>
      <c r="J69">
        <v>14</v>
      </c>
      <c r="K69" t="s">
        <v>129</v>
      </c>
      <c r="L69">
        <v>24.31666666666667</v>
      </c>
      <c r="M69">
        <v>4</v>
      </c>
      <c r="N69">
        <v>2</v>
      </c>
      <c r="O69">
        <v>5</v>
      </c>
      <c r="P69">
        <v>40</v>
      </c>
      <c r="Q69">
        <v>0</v>
      </c>
      <c r="R69">
        <v>2</v>
      </c>
      <c r="S69">
        <v>0</v>
      </c>
      <c r="T69">
        <v>2</v>
      </c>
      <c r="U69">
        <v>7</v>
      </c>
      <c r="V69">
        <v>28.6</v>
      </c>
      <c r="W69">
        <v>0</v>
      </c>
      <c r="X69">
        <v>0</v>
      </c>
      <c r="Y69">
        <v>0</v>
      </c>
      <c r="Z69">
        <v>0</v>
      </c>
      <c r="AA69">
        <v>4</v>
      </c>
      <c r="AB69">
        <v>4</v>
      </c>
      <c r="AC69">
        <v>0</v>
      </c>
      <c r="AD69">
        <v>0</v>
      </c>
      <c r="AE69">
        <v>2</v>
      </c>
      <c r="AF69">
        <v>0</v>
      </c>
      <c r="AG69">
        <v>1</v>
      </c>
      <c r="AH69">
        <v>0</v>
      </c>
      <c r="AI69">
        <v>1</v>
      </c>
      <c r="AJ69">
        <v>2</v>
      </c>
      <c r="AK69">
        <v>2</v>
      </c>
      <c r="AL69">
        <v>-5</v>
      </c>
      <c r="AM69">
        <v>9</v>
      </c>
      <c r="AN69">
        <v>0.37011651816312541</v>
      </c>
      <c r="AO69">
        <v>28.57</v>
      </c>
      <c r="AP69">
        <v>22.22</v>
      </c>
      <c r="AQ69">
        <v>0</v>
      </c>
      <c r="AR69">
        <v>71.430000000000007</v>
      </c>
      <c r="AS69">
        <v>28.57</v>
      </c>
      <c r="AT69">
        <v>0</v>
      </c>
    </row>
    <row r="70" spans="1:46" x14ac:dyDescent="0.25">
      <c r="A70" s="1">
        <v>68</v>
      </c>
      <c r="B70" t="s">
        <v>50</v>
      </c>
      <c r="C70">
        <v>1</v>
      </c>
      <c r="D70" t="s">
        <v>49</v>
      </c>
      <c r="E70" t="s">
        <v>59</v>
      </c>
      <c r="F70" t="s">
        <v>60</v>
      </c>
      <c r="G70" t="s">
        <v>65</v>
      </c>
      <c r="H70">
        <v>0</v>
      </c>
      <c r="I70">
        <v>0</v>
      </c>
      <c r="J70">
        <v>16</v>
      </c>
      <c r="K70" t="s">
        <v>130</v>
      </c>
      <c r="L70">
        <v>19.283333333333331</v>
      </c>
      <c r="M70">
        <v>4</v>
      </c>
      <c r="N70">
        <v>0</v>
      </c>
      <c r="O70">
        <v>4</v>
      </c>
      <c r="P70">
        <v>0</v>
      </c>
      <c r="Q70">
        <v>1</v>
      </c>
      <c r="R70">
        <v>4</v>
      </c>
      <c r="S70">
        <v>25</v>
      </c>
      <c r="T70">
        <v>1</v>
      </c>
      <c r="U70">
        <v>8</v>
      </c>
      <c r="V70">
        <v>12.5</v>
      </c>
      <c r="W70">
        <v>1</v>
      </c>
      <c r="X70">
        <v>2</v>
      </c>
      <c r="Y70">
        <v>50</v>
      </c>
      <c r="Z70">
        <v>4</v>
      </c>
      <c r="AA70">
        <v>5</v>
      </c>
      <c r="AB70">
        <v>9</v>
      </c>
      <c r="AC70">
        <v>0</v>
      </c>
      <c r="AD70">
        <v>0</v>
      </c>
      <c r="AE70">
        <v>2</v>
      </c>
      <c r="AF70">
        <v>1</v>
      </c>
      <c r="AG70">
        <v>0</v>
      </c>
      <c r="AH70">
        <v>0</v>
      </c>
      <c r="AI70">
        <v>2</v>
      </c>
      <c r="AJ70">
        <v>1</v>
      </c>
      <c r="AK70">
        <v>3</v>
      </c>
      <c r="AL70">
        <v>-4</v>
      </c>
      <c r="AM70">
        <v>10.88</v>
      </c>
      <c r="AN70">
        <v>0.56421780466724281</v>
      </c>
      <c r="AO70">
        <v>22.52</v>
      </c>
      <c r="AP70">
        <v>18.38</v>
      </c>
      <c r="AQ70">
        <v>0.125</v>
      </c>
      <c r="AR70">
        <v>45.05</v>
      </c>
      <c r="AS70">
        <v>45.05</v>
      </c>
      <c r="AT70">
        <v>9.91</v>
      </c>
    </row>
    <row r="71" spans="1:46" x14ac:dyDescent="0.25">
      <c r="A71" s="1">
        <v>69</v>
      </c>
      <c r="B71" t="s">
        <v>50</v>
      </c>
      <c r="C71">
        <v>1</v>
      </c>
      <c r="D71" t="s">
        <v>49</v>
      </c>
      <c r="E71" t="s">
        <v>59</v>
      </c>
      <c r="F71" t="s">
        <v>60</v>
      </c>
      <c r="G71" t="s">
        <v>65</v>
      </c>
      <c r="H71">
        <v>0</v>
      </c>
      <c r="I71">
        <v>0</v>
      </c>
      <c r="J71">
        <v>18</v>
      </c>
      <c r="K71" t="s">
        <v>131</v>
      </c>
      <c r="L71">
        <v>14.15</v>
      </c>
      <c r="M71">
        <v>9</v>
      </c>
      <c r="N71">
        <v>4</v>
      </c>
      <c r="O71">
        <v>5</v>
      </c>
      <c r="P71">
        <v>80</v>
      </c>
      <c r="Q71">
        <v>0</v>
      </c>
      <c r="R71">
        <v>0</v>
      </c>
      <c r="S71">
        <v>0</v>
      </c>
      <c r="T71">
        <v>4</v>
      </c>
      <c r="U71">
        <v>5</v>
      </c>
      <c r="V71">
        <v>80</v>
      </c>
      <c r="W71">
        <v>1</v>
      </c>
      <c r="X71">
        <v>2</v>
      </c>
      <c r="Y71">
        <v>50</v>
      </c>
      <c r="Z71">
        <v>2</v>
      </c>
      <c r="AA71">
        <v>2</v>
      </c>
      <c r="AB71">
        <v>4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5</v>
      </c>
      <c r="AJ71">
        <v>1</v>
      </c>
      <c r="AK71">
        <v>7</v>
      </c>
      <c r="AL71">
        <v>-10</v>
      </c>
      <c r="AM71">
        <v>5.88</v>
      </c>
      <c r="AN71">
        <v>0.415547703180212</v>
      </c>
      <c r="AO71">
        <v>76.53</v>
      </c>
      <c r="AP71">
        <v>0</v>
      </c>
      <c r="AQ71">
        <v>0.2</v>
      </c>
      <c r="AR71">
        <v>85.03</v>
      </c>
      <c r="AS71">
        <v>0</v>
      </c>
      <c r="AT71">
        <v>14.97</v>
      </c>
    </row>
    <row r="72" spans="1:46" x14ac:dyDescent="0.25">
      <c r="A72" s="1">
        <v>70</v>
      </c>
      <c r="B72" t="s">
        <v>50</v>
      </c>
      <c r="C72">
        <v>1</v>
      </c>
      <c r="D72" t="s">
        <v>49</v>
      </c>
      <c r="E72" t="s">
        <v>59</v>
      </c>
      <c r="F72" t="s">
        <v>60</v>
      </c>
      <c r="G72" t="s">
        <v>65</v>
      </c>
      <c r="H72">
        <v>0</v>
      </c>
      <c r="I72">
        <v>0</v>
      </c>
      <c r="K72" t="s">
        <v>77</v>
      </c>
      <c r="L72">
        <v>200</v>
      </c>
      <c r="M72">
        <v>52</v>
      </c>
      <c r="N72">
        <v>14</v>
      </c>
      <c r="O72">
        <v>42</v>
      </c>
      <c r="P72">
        <v>33.299999999999997</v>
      </c>
      <c r="Q72">
        <v>5</v>
      </c>
      <c r="R72">
        <v>20</v>
      </c>
      <c r="S72">
        <v>25</v>
      </c>
      <c r="T72">
        <v>19</v>
      </c>
      <c r="U72">
        <v>62</v>
      </c>
      <c r="V72">
        <v>30.6</v>
      </c>
      <c r="W72">
        <v>9</v>
      </c>
      <c r="X72">
        <v>18</v>
      </c>
      <c r="Y72">
        <v>50</v>
      </c>
      <c r="Z72">
        <v>10</v>
      </c>
      <c r="AA72">
        <v>29</v>
      </c>
      <c r="AB72">
        <v>39</v>
      </c>
      <c r="AC72">
        <v>12</v>
      </c>
      <c r="AD72">
        <v>5</v>
      </c>
      <c r="AE72">
        <v>17</v>
      </c>
      <c r="AF72">
        <v>1</v>
      </c>
      <c r="AG72">
        <v>5</v>
      </c>
      <c r="AH72">
        <v>0</v>
      </c>
      <c r="AI72">
        <v>25</v>
      </c>
      <c r="AJ72">
        <v>18</v>
      </c>
      <c r="AK72">
        <v>33</v>
      </c>
      <c r="AM72">
        <v>86.92</v>
      </c>
      <c r="AN72">
        <v>0.43459999999999999</v>
      </c>
      <c r="AO72">
        <v>37.19</v>
      </c>
      <c r="AP72">
        <v>19.559999999999999</v>
      </c>
      <c r="AQ72">
        <v>0.14516129032258071</v>
      </c>
      <c r="AR72">
        <v>60.07</v>
      </c>
      <c r="AS72">
        <v>28.6</v>
      </c>
      <c r="AT72">
        <v>11.33</v>
      </c>
    </row>
    <row r="73" spans="1:46" x14ac:dyDescent="0.25">
      <c r="A73" s="1">
        <v>71</v>
      </c>
      <c r="B73" t="s">
        <v>51</v>
      </c>
      <c r="C73">
        <v>1</v>
      </c>
      <c r="D73" t="s">
        <v>52</v>
      </c>
      <c r="E73" t="s">
        <v>59</v>
      </c>
      <c r="F73" t="s">
        <v>60</v>
      </c>
      <c r="G73" t="s">
        <v>64</v>
      </c>
      <c r="H73">
        <v>1</v>
      </c>
      <c r="I73">
        <v>1</v>
      </c>
      <c r="J73">
        <v>1</v>
      </c>
      <c r="K73" t="s">
        <v>132</v>
      </c>
      <c r="L73">
        <v>20.95</v>
      </c>
      <c r="M73">
        <v>4</v>
      </c>
      <c r="N73">
        <v>0</v>
      </c>
      <c r="O73">
        <v>2</v>
      </c>
      <c r="P73">
        <v>0</v>
      </c>
      <c r="Q73">
        <v>1</v>
      </c>
      <c r="R73">
        <v>4</v>
      </c>
      <c r="S73">
        <v>25</v>
      </c>
      <c r="T73">
        <v>1</v>
      </c>
      <c r="U73">
        <v>6</v>
      </c>
      <c r="V73">
        <v>16.7</v>
      </c>
      <c r="W73">
        <v>1</v>
      </c>
      <c r="X73">
        <v>2</v>
      </c>
      <c r="Y73">
        <v>50</v>
      </c>
      <c r="Z73">
        <v>2</v>
      </c>
      <c r="AA73">
        <v>2</v>
      </c>
      <c r="AB73">
        <v>4</v>
      </c>
      <c r="AC73">
        <v>3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1</v>
      </c>
      <c r="AJ73">
        <v>3</v>
      </c>
      <c r="AK73">
        <v>6</v>
      </c>
      <c r="AL73">
        <v>19</v>
      </c>
      <c r="AM73">
        <v>7.88</v>
      </c>
      <c r="AN73">
        <v>0.37613365155131268</v>
      </c>
      <c r="AO73">
        <v>29.07</v>
      </c>
      <c r="AP73">
        <v>12.69</v>
      </c>
      <c r="AQ73">
        <v>0.16666666666666671</v>
      </c>
      <c r="AR73">
        <v>29.07</v>
      </c>
      <c r="AS73">
        <v>58.14</v>
      </c>
      <c r="AT73">
        <v>12.79</v>
      </c>
    </row>
    <row r="74" spans="1:46" x14ac:dyDescent="0.25">
      <c r="A74" s="1">
        <v>72</v>
      </c>
      <c r="B74" t="s">
        <v>51</v>
      </c>
      <c r="C74">
        <v>1</v>
      </c>
      <c r="D74" t="s">
        <v>52</v>
      </c>
      <c r="E74" t="s">
        <v>59</v>
      </c>
      <c r="F74" t="s">
        <v>60</v>
      </c>
      <c r="G74" t="s">
        <v>64</v>
      </c>
      <c r="H74">
        <v>1</v>
      </c>
      <c r="I74">
        <v>0</v>
      </c>
      <c r="J74">
        <v>5</v>
      </c>
      <c r="K74" t="s">
        <v>133</v>
      </c>
      <c r="L74">
        <v>19.05</v>
      </c>
      <c r="M74">
        <v>4</v>
      </c>
      <c r="N74">
        <v>0</v>
      </c>
      <c r="O74">
        <v>3</v>
      </c>
      <c r="P74">
        <v>0</v>
      </c>
      <c r="Q74">
        <v>0</v>
      </c>
      <c r="R74">
        <v>4</v>
      </c>
      <c r="S74">
        <v>0</v>
      </c>
      <c r="T74">
        <v>0</v>
      </c>
      <c r="U74">
        <v>7</v>
      </c>
      <c r="V74">
        <v>0</v>
      </c>
      <c r="W74">
        <v>4</v>
      </c>
      <c r="X74">
        <v>4</v>
      </c>
      <c r="Y74">
        <v>100</v>
      </c>
      <c r="Z74">
        <v>0</v>
      </c>
      <c r="AA74">
        <v>1</v>
      </c>
      <c r="AB74">
        <v>1</v>
      </c>
      <c r="AC74">
        <v>0</v>
      </c>
      <c r="AD74">
        <v>0</v>
      </c>
      <c r="AE74">
        <v>2</v>
      </c>
      <c r="AF74">
        <v>0</v>
      </c>
      <c r="AG74">
        <v>0</v>
      </c>
      <c r="AH74">
        <v>0</v>
      </c>
      <c r="AI74">
        <v>2</v>
      </c>
      <c r="AJ74">
        <v>2</v>
      </c>
      <c r="AK74">
        <v>-4</v>
      </c>
      <c r="AL74">
        <v>11</v>
      </c>
      <c r="AM74">
        <v>10.76</v>
      </c>
      <c r="AN74">
        <v>0.56482939632545925</v>
      </c>
      <c r="AO74">
        <v>22.83</v>
      </c>
      <c r="AP74">
        <v>18.59</v>
      </c>
      <c r="AQ74">
        <v>0.5714285714285714</v>
      </c>
      <c r="AR74">
        <v>34.25</v>
      </c>
      <c r="AS74">
        <v>45.66</v>
      </c>
      <c r="AT74">
        <v>20.09</v>
      </c>
    </row>
    <row r="75" spans="1:46" x14ac:dyDescent="0.25">
      <c r="A75" s="1">
        <v>73</v>
      </c>
      <c r="B75" t="s">
        <v>51</v>
      </c>
      <c r="C75">
        <v>1</v>
      </c>
      <c r="D75" t="s">
        <v>52</v>
      </c>
      <c r="E75" t="s">
        <v>59</v>
      </c>
      <c r="F75" t="s">
        <v>60</v>
      </c>
      <c r="G75" t="s">
        <v>64</v>
      </c>
      <c r="H75">
        <v>1</v>
      </c>
      <c r="I75">
        <v>1</v>
      </c>
      <c r="J75">
        <v>6</v>
      </c>
      <c r="K75" t="s">
        <v>134</v>
      </c>
      <c r="L75">
        <v>21.93333333333333</v>
      </c>
      <c r="M75">
        <v>13</v>
      </c>
      <c r="N75">
        <v>6</v>
      </c>
      <c r="O75">
        <v>7</v>
      </c>
      <c r="P75">
        <v>85.7</v>
      </c>
      <c r="Q75">
        <v>0</v>
      </c>
      <c r="R75">
        <v>1</v>
      </c>
      <c r="S75">
        <v>0</v>
      </c>
      <c r="T75">
        <v>6</v>
      </c>
      <c r="U75">
        <v>8</v>
      </c>
      <c r="V75">
        <v>75</v>
      </c>
      <c r="W75">
        <v>1</v>
      </c>
      <c r="X75">
        <v>2</v>
      </c>
      <c r="Y75">
        <v>50</v>
      </c>
      <c r="Z75">
        <v>0</v>
      </c>
      <c r="AA75">
        <v>1</v>
      </c>
      <c r="AB75">
        <v>1</v>
      </c>
      <c r="AC75">
        <v>4</v>
      </c>
      <c r="AD75">
        <v>1</v>
      </c>
      <c r="AE75">
        <v>3</v>
      </c>
      <c r="AF75">
        <v>0</v>
      </c>
      <c r="AG75">
        <v>0</v>
      </c>
      <c r="AH75">
        <v>0</v>
      </c>
      <c r="AI75">
        <v>4</v>
      </c>
      <c r="AJ75">
        <v>1</v>
      </c>
      <c r="AK75">
        <v>10</v>
      </c>
      <c r="AL75">
        <v>18</v>
      </c>
      <c r="AM75">
        <v>11.88</v>
      </c>
      <c r="AN75">
        <v>0.54164133738601827</v>
      </c>
      <c r="AO75">
        <v>73.2</v>
      </c>
      <c r="AP75">
        <v>25.25</v>
      </c>
      <c r="AQ75">
        <v>0.125</v>
      </c>
      <c r="AR75">
        <v>78.83</v>
      </c>
      <c r="AS75">
        <v>11.26</v>
      </c>
      <c r="AT75">
        <v>9.91</v>
      </c>
    </row>
    <row r="76" spans="1:46" x14ac:dyDescent="0.25">
      <c r="A76" s="1">
        <v>74</v>
      </c>
      <c r="B76" t="s">
        <v>51</v>
      </c>
      <c r="C76">
        <v>1</v>
      </c>
      <c r="D76" t="s">
        <v>52</v>
      </c>
      <c r="E76" t="s">
        <v>59</v>
      </c>
      <c r="F76" t="s">
        <v>60</v>
      </c>
      <c r="G76" t="s">
        <v>64</v>
      </c>
      <c r="H76">
        <v>1</v>
      </c>
      <c r="I76">
        <v>0</v>
      </c>
      <c r="J76">
        <v>8</v>
      </c>
      <c r="K76" t="s">
        <v>135</v>
      </c>
      <c r="L76">
        <v>18.06666666666667</v>
      </c>
      <c r="M76">
        <v>6</v>
      </c>
      <c r="N76">
        <v>0</v>
      </c>
      <c r="O76">
        <v>1</v>
      </c>
      <c r="P76">
        <v>0</v>
      </c>
      <c r="Q76">
        <v>2</v>
      </c>
      <c r="R76">
        <v>4</v>
      </c>
      <c r="S76">
        <v>50</v>
      </c>
      <c r="T76">
        <v>2</v>
      </c>
      <c r="U76">
        <v>5</v>
      </c>
      <c r="V76">
        <v>40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</v>
      </c>
      <c r="AD76">
        <v>2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1</v>
      </c>
      <c r="AK76">
        <v>6</v>
      </c>
      <c r="AL76">
        <v>12</v>
      </c>
      <c r="AM76">
        <v>5</v>
      </c>
      <c r="AN76">
        <v>0.2767527675276753</v>
      </c>
      <c r="AO76">
        <v>60</v>
      </c>
      <c r="AP76">
        <v>0</v>
      </c>
      <c r="AQ76">
        <v>0</v>
      </c>
      <c r="AR76">
        <v>20</v>
      </c>
      <c r="AS76">
        <v>80</v>
      </c>
      <c r="AT76">
        <v>0</v>
      </c>
    </row>
    <row r="77" spans="1:46" x14ac:dyDescent="0.25">
      <c r="A77" s="1">
        <v>75</v>
      </c>
      <c r="B77" t="s">
        <v>51</v>
      </c>
      <c r="C77">
        <v>1</v>
      </c>
      <c r="D77" t="s">
        <v>52</v>
      </c>
      <c r="E77" t="s">
        <v>59</v>
      </c>
      <c r="F77" t="s">
        <v>60</v>
      </c>
      <c r="G77" t="s">
        <v>64</v>
      </c>
      <c r="H77">
        <v>1</v>
      </c>
      <c r="I77">
        <v>0</v>
      </c>
      <c r="J77">
        <v>10</v>
      </c>
      <c r="K77" t="s">
        <v>136</v>
      </c>
      <c r="L77">
        <v>24.35</v>
      </c>
      <c r="M77">
        <v>4</v>
      </c>
      <c r="N77">
        <v>2</v>
      </c>
      <c r="O77">
        <v>4</v>
      </c>
      <c r="P77">
        <v>50</v>
      </c>
      <c r="Q77">
        <v>0</v>
      </c>
      <c r="R77">
        <v>3</v>
      </c>
      <c r="S77">
        <v>0</v>
      </c>
      <c r="T77">
        <v>2</v>
      </c>
      <c r="U77">
        <v>7</v>
      </c>
      <c r="V77">
        <v>28.6</v>
      </c>
      <c r="W77">
        <v>0</v>
      </c>
      <c r="X77">
        <v>1</v>
      </c>
      <c r="Y77">
        <v>0</v>
      </c>
      <c r="Z77">
        <v>0</v>
      </c>
      <c r="AA77">
        <v>1</v>
      </c>
      <c r="AB77">
        <v>1</v>
      </c>
      <c r="AC77">
        <v>1</v>
      </c>
      <c r="AD77">
        <v>2</v>
      </c>
      <c r="AE77">
        <v>3</v>
      </c>
      <c r="AF77">
        <v>0</v>
      </c>
      <c r="AG77">
        <v>0</v>
      </c>
      <c r="AH77">
        <v>0</v>
      </c>
      <c r="AI77">
        <v>3</v>
      </c>
      <c r="AJ77">
        <v>5</v>
      </c>
      <c r="AK77">
        <v>1</v>
      </c>
      <c r="AL77">
        <v>17</v>
      </c>
      <c r="AM77">
        <v>10.44</v>
      </c>
      <c r="AN77">
        <v>0.42874743326488712</v>
      </c>
      <c r="AO77">
        <v>26.88</v>
      </c>
      <c r="AP77">
        <v>28.74</v>
      </c>
      <c r="AQ77">
        <v>0</v>
      </c>
      <c r="AR77">
        <v>53.76</v>
      </c>
      <c r="AS77">
        <v>40.32</v>
      </c>
      <c r="AT77">
        <v>5.91</v>
      </c>
    </row>
    <row r="78" spans="1:46" x14ac:dyDescent="0.25">
      <c r="A78" s="1">
        <v>76</v>
      </c>
      <c r="B78" t="s">
        <v>51</v>
      </c>
      <c r="C78">
        <v>1</v>
      </c>
      <c r="D78" t="s">
        <v>52</v>
      </c>
      <c r="E78" t="s">
        <v>59</v>
      </c>
      <c r="F78" t="s">
        <v>60</v>
      </c>
      <c r="G78" t="s">
        <v>64</v>
      </c>
      <c r="H78">
        <v>1</v>
      </c>
      <c r="I78">
        <v>1</v>
      </c>
      <c r="J78">
        <v>11</v>
      </c>
      <c r="K78" t="s">
        <v>137</v>
      </c>
      <c r="L78">
        <v>25.7</v>
      </c>
      <c r="M78">
        <v>5</v>
      </c>
      <c r="N78">
        <v>1</v>
      </c>
      <c r="O78">
        <v>4</v>
      </c>
      <c r="P78">
        <v>25</v>
      </c>
      <c r="Q78">
        <v>1</v>
      </c>
      <c r="R78">
        <v>3</v>
      </c>
      <c r="S78">
        <v>33.299999999999997</v>
      </c>
      <c r="T78">
        <v>2</v>
      </c>
      <c r="U78">
        <v>7</v>
      </c>
      <c r="V78">
        <v>28.6</v>
      </c>
      <c r="W78">
        <v>0</v>
      </c>
      <c r="X78">
        <v>0</v>
      </c>
      <c r="Y78">
        <v>0</v>
      </c>
      <c r="Z78">
        <v>2</v>
      </c>
      <c r="AA78">
        <v>4</v>
      </c>
      <c r="AB78">
        <v>6</v>
      </c>
      <c r="AC78">
        <v>1</v>
      </c>
      <c r="AD78">
        <v>2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4</v>
      </c>
      <c r="AK78">
        <v>12</v>
      </c>
      <c r="AL78">
        <v>20</v>
      </c>
      <c r="AM78">
        <v>7</v>
      </c>
      <c r="AN78">
        <v>0.27237354085603122</v>
      </c>
      <c r="AO78">
        <v>35.71</v>
      </c>
      <c r="AP78">
        <v>0</v>
      </c>
      <c r="AQ78">
        <v>0</v>
      </c>
      <c r="AR78">
        <v>57.14</v>
      </c>
      <c r="AS78">
        <v>42.86</v>
      </c>
      <c r="AT78">
        <v>0</v>
      </c>
    </row>
    <row r="79" spans="1:46" x14ac:dyDescent="0.25">
      <c r="A79" s="1">
        <v>77</v>
      </c>
      <c r="B79" t="s">
        <v>51</v>
      </c>
      <c r="C79">
        <v>1</v>
      </c>
      <c r="D79" t="s">
        <v>52</v>
      </c>
      <c r="E79" t="s">
        <v>59</v>
      </c>
      <c r="F79" t="s">
        <v>60</v>
      </c>
      <c r="G79" t="s">
        <v>64</v>
      </c>
      <c r="H79">
        <v>1</v>
      </c>
      <c r="I79">
        <v>0</v>
      </c>
      <c r="J79">
        <v>14</v>
      </c>
      <c r="K79" t="s">
        <v>138</v>
      </c>
      <c r="L79">
        <v>27.133333333333329</v>
      </c>
      <c r="M79">
        <v>13</v>
      </c>
      <c r="N79">
        <v>4</v>
      </c>
      <c r="O79">
        <v>6</v>
      </c>
      <c r="P79">
        <v>66.7</v>
      </c>
      <c r="Q79">
        <v>0</v>
      </c>
      <c r="R79">
        <v>0</v>
      </c>
      <c r="S79">
        <v>0</v>
      </c>
      <c r="T79">
        <v>4</v>
      </c>
      <c r="U79">
        <v>6</v>
      </c>
      <c r="V79">
        <v>66.7</v>
      </c>
      <c r="W79">
        <v>5</v>
      </c>
      <c r="X79">
        <v>6</v>
      </c>
      <c r="Y79">
        <v>83.3</v>
      </c>
      <c r="Z79">
        <v>1</v>
      </c>
      <c r="AA79">
        <v>8</v>
      </c>
      <c r="AB79">
        <v>9</v>
      </c>
      <c r="AC79">
        <v>1</v>
      </c>
      <c r="AD79">
        <v>3</v>
      </c>
      <c r="AE79">
        <v>2</v>
      </c>
      <c r="AF79">
        <v>0</v>
      </c>
      <c r="AG79">
        <v>0</v>
      </c>
      <c r="AH79">
        <v>0</v>
      </c>
      <c r="AI79">
        <v>3</v>
      </c>
      <c r="AJ79">
        <v>5</v>
      </c>
      <c r="AK79">
        <v>23</v>
      </c>
      <c r="AL79">
        <v>25</v>
      </c>
      <c r="AM79">
        <v>10.64</v>
      </c>
      <c r="AN79">
        <v>0.39213759213759208</v>
      </c>
      <c r="AO79">
        <v>75.23</v>
      </c>
      <c r="AP79">
        <v>18.8</v>
      </c>
      <c r="AQ79">
        <v>0.83333333333333337</v>
      </c>
      <c r="AR79">
        <v>69.44</v>
      </c>
      <c r="AS79">
        <v>0</v>
      </c>
      <c r="AT79">
        <v>30.56</v>
      </c>
    </row>
    <row r="80" spans="1:46" x14ac:dyDescent="0.25">
      <c r="A80" s="1">
        <v>78</v>
      </c>
      <c r="B80" t="s">
        <v>51</v>
      </c>
      <c r="C80">
        <v>1</v>
      </c>
      <c r="D80" t="s">
        <v>52</v>
      </c>
      <c r="E80" t="s">
        <v>59</v>
      </c>
      <c r="F80" t="s">
        <v>60</v>
      </c>
      <c r="G80" t="s">
        <v>64</v>
      </c>
      <c r="H80">
        <v>1</v>
      </c>
      <c r="I80">
        <v>1</v>
      </c>
      <c r="J80">
        <v>15</v>
      </c>
      <c r="K80" t="s">
        <v>139</v>
      </c>
      <c r="L80">
        <v>15.65</v>
      </c>
      <c r="M80">
        <v>9</v>
      </c>
      <c r="N80">
        <v>2</v>
      </c>
      <c r="O80">
        <v>5</v>
      </c>
      <c r="P80">
        <v>40</v>
      </c>
      <c r="Q80">
        <v>1</v>
      </c>
      <c r="R80">
        <v>2</v>
      </c>
      <c r="S80">
        <v>50</v>
      </c>
      <c r="T80">
        <v>3</v>
      </c>
      <c r="U80">
        <v>7</v>
      </c>
      <c r="V80">
        <v>42.9</v>
      </c>
      <c r="W80">
        <v>2</v>
      </c>
      <c r="X80">
        <v>2</v>
      </c>
      <c r="Y80">
        <v>100</v>
      </c>
      <c r="Z80">
        <v>2</v>
      </c>
      <c r="AA80">
        <v>1</v>
      </c>
      <c r="AB80">
        <v>3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2</v>
      </c>
      <c r="AJ80">
        <v>1</v>
      </c>
      <c r="AK80">
        <v>8</v>
      </c>
      <c r="AL80">
        <v>13</v>
      </c>
      <c r="AM80">
        <v>7.88</v>
      </c>
      <c r="AN80">
        <v>0.50351437699680512</v>
      </c>
      <c r="AO80">
        <v>57.11</v>
      </c>
      <c r="AP80">
        <v>0</v>
      </c>
      <c r="AQ80">
        <v>0.2857142857142857</v>
      </c>
      <c r="AR80">
        <v>63.45</v>
      </c>
      <c r="AS80">
        <v>25.38</v>
      </c>
      <c r="AT80">
        <v>11.17</v>
      </c>
    </row>
    <row r="81" spans="1:46" x14ac:dyDescent="0.25">
      <c r="A81" s="1">
        <v>79</v>
      </c>
      <c r="B81" t="s">
        <v>51</v>
      </c>
      <c r="C81">
        <v>1</v>
      </c>
      <c r="D81" t="s">
        <v>52</v>
      </c>
      <c r="E81" t="s">
        <v>59</v>
      </c>
      <c r="F81" t="s">
        <v>60</v>
      </c>
      <c r="G81" t="s">
        <v>64</v>
      </c>
      <c r="H81">
        <v>1</v>
      </c>
      <c r="I81">
        <v>1</v>
      </c>
      <c r="J81">
        <v>20</v>
      </c>
      <c r="K81" t="s">
        <v>140</v>
      </c>
      <c r="L81">
        <v>19.666666666666671</v>
      </c>
      <c r="M81">
        <v>16</v>
      </c>
      <c r="N81">
        <v>7</v>
      </c>
      <c r="O81">
        <v>12</v>
      </c>
      <c r="P81">
        <v>58.3</v>
      </c>
      <c r="Q81">
        <v>0</v>
      </c>
      <c r="R81">
        <v>0</v>
      </c>
      <c r="S81">
        <v>0</v>
      </c>
      <c r="T81">
        <v>7</v>
      </c>
      <c r="U81">
        <v>12</v>
      </c>
      <c r="V81">
        <v>58.3</v>
      </c>
      <c r="W81">
        <v>2</v>
      </c>
      <c r="X81">
        <v>2</v>
      </c>
      <c r="Y81">
        <v>100</v>
      </c>
      <c r="Z81">
        <v>4</v>
      </c>
      <c r="AA81">
        <v>4</v>
      </c>
      <c r="AB81">
        <v>8</v>
      </c>
      <c r="AC81">
        <v>1</v>
      </c>
      <c r="AD81">
        <v>2</v>
      </c>
      <c r="AE81">
        <v>0</v>
      </c>
      <c r="AF81">
        <v>2</v>
      </c>
      <c r="AG81">
        <v>0</v>
      </c>
      <c r="AH81">
        <v>0</v>
      </c>
      <c r="AI81">
        <v>1</v>
      </c>
      <c r="AJ81">
        <v>1</v>
      </c>
      <c r="AK81">
        <v>24</v>
      </c>
      <c r="AL81">
        <v>15</v>
      </c>
      <c r="AM81">
        <v>12.88</v>
      </c>
      <c r="AN81">
        <v>0.65491525423728814</v>
      </c>
      <c r="AO81">
        <v>62.11</v>
      </c>
      <c r="AP81">
        <v>0</v>
      </c>
      <c r="AQ81">
        <v>0.16666666666666671</v>
      </c>
      <c r="AR81">
        <v>93.17</v>
      </c>
      <c r="AS81">
        <v>0</v>
      </c>
      <c r="AT81">
        <v>6.83</v>
      </c>
    </row>
    <row r="82" spans="1:46" x14ac:dyDescent="0.25">
      <c r="A82" s="1">
        <v>80</v>
      </c>
      <c r="B82" t="s">
        <v>51</v>
      </c>
      <c r="C82">
        <v>1</v>
      </c>
      <c r="D82" t="s">
        <v>52</v>
      </c>
      <c r="E82" t="s">
        <v>59</v>
      </c>
      <c r="F82" t="s">
        <v>60</v>
      </c>
      <c r="G82" t="s">
        <v>64</v>
      </c>
      <c r="H82">
        <v>1</v>
      </c>
      <c r="I82">
        <v>0</v>
      </c>
      <c r="J82">
        <v>25</v>
      </c>
      <c r="K82" t="s">
        <v>141</v>
      </c>
      <c r="L82">
        <v>7.5</v>
      </c>
      <c r="M82">
        <v>3</v>
      </c>
      <c r="N82">
        <v>1</v>
      </c>
      <c r="O82">
        <v>1</v>
      </c>
      <c r="P82">
        <v>100</v>
      </c>
      <c r="Q82">
        <v>0</v>
      </c>
      <c r="R82">
        <v>2</v>
      </c>
      <c r="S82">
        <v>0</v>
      </c>
      <c r="T82">
        <v>1</v>
      </c>
      <c r="U82">
        <v>3</v>
      </c>
      <c r="V82">
        <v>33.299999999999997</v>
      </c>
      <c r="W82">
        <v>1</v>
      </c>
      <c r="X82">
        <v>1</v>
      </c>
      <c r="Y82">
        <v>100</v>
      </c>
      <c r="Z82">
        <v>0</v>
      </c>
      <c r="AA82">
        <v>2</v>
      </c>
      <c r="AB82">
        <v>2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1</v>
      </c>
      <c r="AK82">
        <v>3</v>
      </c>
      <c r="AL82">
        <v>0</v>
      </c>
      <c r="AM82">
        <v>3.44</v>
      </c>
      <c r="AN82">
        <v>0.45866666666666672</v>
      </c>
      <c r="AO82">
        <v>43.6</v>
      </c>
      <c r="AP82">
        <v>0</v>
      </c>
      <c r="AQ82">
        <v>0.33333333333333331</v>
      </c>
      <c r="AR82">
        <v>29.07</v>
      </c>
      <c r="AS82">
        <v>58.14</v>
      </c>
      <c r="AT82">
        <v>12.79</v>
      </c>
    </row>
    <row r="83" spans="1:46" x14ac:dyDescent="0.25">
      <c r="A83" s="1">
        <v>81</v>
      </c>
      <c r="B83" t="s">
        <v>51</v>
      </c>
      <c r="C83">
        <v>1</v>
      </c>
      <c r="D83" t="s">
        <v>52</v>
      </c>
      <c r="E83" t="s">
        <v>59</v>
      </c>
      <c r="F83" t="s">
        <v>60</v>
      </c>
      <c r="G83" t="s">
        <v>64</v>
      </c>
      <c r="H83">
        <v>1</v>
      </c>
      <c r="I83">
        <v>0</v>
      </c>
      <c r="K83" t="s">
        <v>77</v>
      </c>
      <c r="L83">
        <v>200</v>
      </c>
      <c r="M83">
        <v>77</v>
      </c>
      <c r="N83">
        <v>23</v>
      </c>
      <c r="O83">
        <v>45</v>
      </c>
      <c r="P83">
        <v>51.1</v>
      </c>
      <c r="Q83">
        <v>5</v>
      </c>
      <c r="R83">
        <v>23</v>
      </c>
      <c r="S83">
        <v>21.7</v>
      </c>
      <c r="T83">
        <v>28</v>
      </c>
      <c r="U83">
        <v>68</v>
      </c>
      <c r="V83">
        <v>41.2</v>
      </c>
      <c r="W83">
        <v>16</v>
      </c>
      <c r="X83">
        <v>20</v>
      </c>
      <c r="Y83">
        <v>80</v>
      </c>
      <c r="Z83">
        <v>11</v>
      </c>
      <c r="AA83">
        <v>24</v>
      </c>
      <c r="AB83">
        <v>35</v>
      </c>
      <c r="AC83">
        <v>12</v>
      </c>
      <c r="AD83">
        <v>13</v>
      </c>
      <c r="AE83">
        <v>11</v>
      </c>
      <c r="AF83">
        <v>2</v>
      </c>
      <c r="AG83">
        <v>0</v>
      </c>
      <c r="AH83">
        <v>0</v>
      </c>
      <c r="AI83">
        <v>19</v>
      </c>
      <c r="AJ83">
        <v>24</v>
      </c>
      <c r="AK83">
        <v>89</v>
      </c>
      <c r="AM83">
        <v>87.8</v>
      </c>
      <c r="AN83">
        <v>0.439</v>
      </c>
      <c r="AO83">
        <v>50.13</v>
      </c>
      <c r="AP83">
        <v>12.53</v>
      </c>
      <c r="AQ83">
        <v>0.23529411764705879</v>
      </c>
      <c r="AR83">
        <v>58.59</v>
      </c>
      <c r="AS83">
        <v>29.95</v>
      </c>
      <c r="AT83">
        <v>11.46</v>
      </c>
    </row>
    <row r="84" spans="1:46" x14ac:dyDescent="0.25">
      <c r="A84" s="1">
        <v>82</v>
      </c>
      <c r="B84" t="s">
        <v>52</v>
      </c>
      <c r="C84">
        <v>1</v>
      </c>
      <c r="D84" t="s">
        <v>51</v>
      </c>
      <c r="E84" t="s">
        <v>59</v>
      </c>
      <c r="F84" t="s">
        <v>60</v>
      </c>
      <c r="G84" t="s">
        <v>65</v>
      </c>
      <c r="H84">
        <v>0</v>
      </c>
      <c r="I84">
        <v>1</v>
      </c>
      <c r="J84">
        <v>4</v>
      </c>
      <c r="K84" t="s">
        <v>142</v>
      </c>
      <c r="L84">
        <v>26.966666666666669</v>
      </c>
      <c r="M84">
        <v>3</v>
      </c>
      <c r="N84">
        <v>1</v>
      </c>
      <c r="O84">
        <v>6</v>
      </c>
      <c r="P84">
        <v>16.7</v>
      </c>
      <c r="Q84">
        <v>0</v>
      </c>
      <c r="R84">
        <v>1</v>
      </c>
      <c r="S84">
        <v>0</v>
      </c>
      <c r="T84">
        <v>1</v>
      </c>
      <c r="U84">
        <v>7</v>
      </c>
      <c r="V84">
        <v>14.3</v>
      </c>
      <c r="W84">
        <v>1</v>
      </c>
      <c r="X84">
        <v>4</v>
      </c>
      <c r="Y84">
        <v>25</v>
      </c>
      <c r="Z84">
        <v>2</v>
      </c>
      <c r="AA84">
        <v>1</v>
      </c>
      <c r="AB84">
        <v>3</v>
      </c>
      <c r="AC84">
        <v>0</v>
      </c>
      <c r="AD84">
        <v>0</v>
      </c>
      <c r="AE84">
        <v>2</v>
      </c>
      <c r="AF84">
        <v>0</v>
      </c>
      <c r="AG84">
        <v>1</v>
      </c>
      <c r="AH84">
        <v>0</v>
      </c>
      <c r="AI84">
        <v>4</v>
      </c>
      <c r="AJ84">
        <v>2</v>
      </c>
      <c r="AK84">
        <v>-7</v>
      </c>
      <c r="AL84">
        <v>-23</v>
      </c>
      <c r="AM84">
        <v>10.76</v>
      </c>
      <c r="AN84">
        <v>0.39901112484548829</v>
      </c>
      <c r="AO84">
        <v>17.12</v>
      </c>
      <c r="AP84">
        <v>18.59</v>
      </c>
      <c r="AQ84">
        <v>0.14285714285714279</v>
      </c>
      <c r="AR84">
        <v>68.489999999999995</v>
      </c>
      <c r="AS84">
        <v>11.42</v>
      </c>
      <c r="AT84">
        <v>20.09</v>
      </c>
    </row>
    <row r="85" spans="1:46" x14ac:dyDescent="0.25">
      <c r="A85" s="1">
        <v>83</v>
      </c>
      <c r="B85" t="s">
        <v>52</v>
      </c>
      <c r="C85">
        <v>1</v>
      </c>
      <c r="D85" t="s">
        <v>51</v>
      </c>
      <c r="E85" t="s">
        <v>59</v>
      </c>
      <c r="F85" t="s">
        <v>60</v>
      </c>
      <c r="G85" t="s">
        <v>65</v>
      </c>
      <c r="H85">
        <v>0</v>
      </c>
      <c r="I85">
        <v>0</v>
      </c>
      <c r="J85">
        <v>5</v>
      </c>
      <c r="K85" t="s">
        <v>143</v>
      </c>
      <c r="L85">
        <v>5.8833333333333329</v>
      </c>
      <c r="M85">
        <v>1</v>
      </c>
      <c r="N85">
        <v>0</v>
      </c>
      <c r="O85">
        <v>3</v>
      </c>
      <c r="P85">
        <v>0</v>
      </c>
      <c r="Q85">
        <v>0</v>
      </c>
      <c r="R85">
        <v>1</v>
      </c>
      <c r="S85">
        <v>0</v>
      </c>
      <c r="T85">
        <v>0</v>
      </c>
      <c r="U85">
        <v>4</v>
      </c>
      <c r="V85">
        <v>0</v>
      </c>
      <c r="W85">
        <v>1</v>
      </c>
      <c r="X85">
        <v>2</v>
      </c>
      <c r="Y85">
        <v>50</v>
      </c>
      <c r="Z85">
        <v>2</v>
      </c>
      <c r="AA85">
        <v>2</v>
      </c>
      <c r="AB85">
        <v>4</v>
      </c>
      <c r="AC85">
        <v>1</v>
      </c>
      <c r="AD85">
        <v>0</v>
      </c>
      <c r="AE85">
        <v>2</v>
      </c>
      <c r="AF85">
        <v>0</v>
      </c>
      <c r="AG85">
        <v>0</v>
      </c>
      <c r="AH85">
        <v>0</v>
      </c>
      <c r="AI85">
        <v>2</v>
      </c>
      <c r="AJ85">
        <v>1</v>
      </c>
      <c r="AK85">
        <v>-2</v>
      </c>
      <c r="AL85">
        <v>-7</v>
      </c>
      <c r="AM85">
        <v>6.88</v>
      </c>
      <c r="AN85">
        <v>1.1694050991501419</v>
      </c>
      <c r="AO85">
        <v>10.25</v>
      </c>
      <c r="AP85">
        <v>29.07</v>
      </c>
      <c r="AQ85">
        <v>0.25</v>
      </c>
      <c r="AR85">
        <v>61.48</v>
      </c>
      <c r="AS85">
        <v>20.49</v>
      </c>
      <c r="AT85">
        <v>18.03</v>
      </c>
    </row>
    <row r="86" spans="1:46" x14ac:dyDescent="0.25">
      <c r="A86" s="1">
        <v>84</v>
      </c>
      <c r="B86" t="s">
        <v>52</v>
      </c>
      <c r="C86">
        <v>1</v>
      </c>
      <c r="D86" t="s">
        <v>51</v>
      </c>
      <c r="E86" t="s">
        <v>59</v>
      </c>
      <c r="F86" t="s">
        <v>60</v>
      </c>
      <c r="G86" t="s">
        <v>65</v>
      </c>
      <c r="H86">
        <v>0</v>
      </c>
      <c r="I86">
        <v>0</v>
      </c>
      <c r="J86">
        <v>6</v>
      </c>
      <c r="K86" t="s">
        <v>144</v>
      </c>
      <c r="L86">
        <v>19.75</v>
      </c>
      <c r="M86">
        <v>4</v>
      </c>
      <c r="N86">
        <v>1</v>
      </c>
      <c r="O86">
        <v>3</v>
      </c>
      <c r="P86">
        <v>33.299999999999997</v>
      </c>
      <c r="Q86">
        <v>0</v>
      </c>
      <c r="R86">
        <v>2</v>
      </c>
      <c r="S86">
        <v>0</v>
      </c>
      <c r="T86">
        <v>1</v>
      </c>
      <c r="U86">
        <v>5</v>
      </c>
      <c r="V86">
        <v>20</v>
      </c>
      <c r="W86">
        <v>2</v>
      </c>
      <c r="X86">
        <v>2</v>
      </c>
      <c r="Y86">
        <v>100</v>
      </c>
      <c r="Z86">
        <v>2</v>
      </c>
      <c r="AA86">
        <v>6</v>
      </c>
      <c r="AB86">
        <v>8</v>
      </c>
      <c r="AC86">
        <v>1</v>
      </c>
      <c r="AD86">
        <v>0</v>
      </c>
      <c r="AE86">
        <v>6</v>
      </c>
      <c r="AF86">
        <v>0</v>
      </c>
      <c r="AG86">
        <v>0</v>
      </c>
      <c r="AH86">
        <v>0</v>
      </c>
      <c r="AI86">
        <v>5</v>
      </c>
      <c r="AJ86">
        <v>3</v>
      </c>
      <c r="AK86">
        <v>1</v>
      </c>
      <c r="AL86">
        <v>-9</v>
      </c>
      <c r="AM86">
        <v>11.88</v>
      </c>
      <c r="AN86">
        <v>0.60151898734177212</v>
      </c>
      <c r="AO86">
        <v>34.01</v>
      </c>
      <c r="AP86">
        <v>50.51</v>
      </c>
      <c r="AQ86">
        <v>0.4</v>
      </c>
      <c r="AR86">
        <v>51.02</v>
      </c>
      <c r="AS86">
        <v>34.01</v>
      </c>
      <c r="AT86">
        <v>14.97</v>
      </c>
    </row>
    <row r="87" spans="1:46" x14ac:dyDescent="0.25">
      <c r="A87" s="1">
        <v>85</v>
      </c>
      <c r="B87" t="s">
        <v>52</v>
      </c>
      <c r="C87">
        <v>1</v>
      </c>
      <c r="D87" t="s">
        <v>51</v>
      </c>
      <c r="E87" t="s">
        <v>59</v>
      </c>
      <c r="F87" t="s">
        <v>60</v>
      </c>
      <c r="G87" t="s">
        <v>65</v>
      </c>
      <c r="H87">
        <v>0</v>
      </c>
      <c r="I87">
        <v>1</v>
      </c>
      <c r="J87">
        <v>7</v>
      </c>
      <c r="K87" t="s">
        <v>145</v>
      </c>
      <c r="L87">
        <v>30.383333333333329</v>
      </c>
      <c r="M87">
        <v>9</v>
      </c>
      <c r="N87">
        <v>4</v>
      </c>
      <c r="O87">
        <v>7</v>
      </c>
      <c r="P87">
        <v>57.1</v>
      </c>
      <c r="Q87">
        <v>0</v>
      </c>
      <c r="R87">
        <v>6</v>
      </c>
      <c r="S87">
        <v>0</v>
      </c>
      <c r="T87">
        <v>4</v>
      </c>
      <c r="U87">
        <v>13</v>
      </c>
      <c r="V87">
        <v>30.8</v>
      </c>
      <c r="W87">
        <v>1</v>
      </c>
      <c r="X87">
        <v>2</v>
      </c>
      <c r="Y87">
        <v>50</v>
      </c>
      <c r="Z87">
        <v>0</v>
      </c>
      <c r="AA87">
        <v>4</v>
      </c>
      <c r="AB87">
        <v>4</v>
      </c>
      <c r="AC87">
        <v>2</v>
      </c>
      <c r="AD87">
        <v>1</v>
      </c>
      <c r="AE87">
        <v>1</v>
      </c>
      <c r="AF87">
        <v>0</v>
      </c>
      <c r="AG87">
        <v>0</v>
      </c>
      <c r="AH87">
        <v>0</v>
      </c>
      <c r="AI87">
        <v>4</v>
      </c>
      <c r="AJ87">
        <v>3</v>
      </c>
      <c r="AK87">
        <v>4</v>
      </c>
      <c r="AL87">
        <v>-31</v>
      </c>
      <c r="AM87">
        <v>14.88</v>
      </c>
      <c r="AN87">
        <v>0.48974218321448171</v>
      </c>
      <c r="AO87">
        <v>32.42</v>
      </c>
      <c r="AP87">
        <v>6.72</v>
      </c>
      <c r="AQ87">
        <v>7.6923076923076927E-2</v>
      </c>
      <c r="AR87">
        <v>50.43</v>
      </c>
      <c r="AS87">
        <v>43.23</v>
      </c>
      <c r="AT87">
        <v>6.34</v>
      </c>
    </row>
    <row r="88" spans="1:46" x14ac:dyDescent="0.25">
      <c r="A88" s="1">
        <v>86</v>
      </c>
      <c r="B88" t="s">
        <v>52</v>
      </c>
      <c r="C88">
        <v>1</v>
      </c>
      <c r="D88" t="s">
        <v>51</v>
      </c>
      <c r="E88" t="s">
        <v>59</v>
      </c>
      <c r="F88" t="s">
        <v>60</v>
      </c>
      <c r="G88" t="s">
        <v>65</v>
      </c>
      <c r="H88">
        <v>0</v>
      </c>
      <c r="I88">
        <v>0</v>
      </c>
      <c r="J88">
        <v>8</v>
      </c>
      <c r="K88" t="s">
        <v>146</v>
      </c>
      <c r="L88">
        <v>20.583333333333329</v>
      </c>
      <c r="M88">
        <v>7</v>
      </c>
      <c r="N88">
        <v>2</v>
      </c>
      <c r="O88">
        <v>3</v>
      </c>
      <c r="P88">
        <v>66.7</v>
      </c>
      <c r="Q88">
        <v>1</v>
      </c>
      <c r="R88">
        <v>5</v>
      </c>
      <c r="S88">
        <v>20</v>
      </c>
      <c r="T88">
        <v>3</v>
      </c>
      <c r="U88">
        <v>8</v>
      </c>
      <c r="V88">
        <v>37.5</v>
      </c>
      <c r="W88">
        <v>0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2</v>
      </c>
      <c r="AE88">
        <v>2</v>
      </c>
      <c r="AF88">
        <v>0</v>
      </c>
      <c r="AG88">
        <v>0</v>
      </c>
      <c r="AH88">
        <v>0</v>
      </c>
      <c r="AI88">
        <v>1</v>
      </c>
      <c r="AJ88">
        <v>2</v>
      </c>
      <c r="AK88">
        <v>4</v>
      </c>
      <c r="AL88">
        <v>-10</v>
      </c>
      <c r="AM88">
        <v>10</v>
      </c>
      <c r="AN88">
        <v>0.48582995951417007</v>
      </c>
      <c r="AO88">
        <v>43.75</v>
      </c>
      <c r="AP88">
        <v>20</v>
      </c>
      <c r="AQ88">
        <v>0</v>
      </c>
      <c r="AR88">
        <v>37.5</v>
      </c>
      <c r="AS88">
        <v>62.5</v>
      </c>
      <c r="AT88">
        <v>0</v>
      </c>
    </row>
    <row r="89" spans="1:46" x14ac:dyDescent="0.25">
      <c r="A89" s="1">
        <v>87</v>
      </c>
      <c r="B89" t="s">
        <v>52</v>
      </c>
      <c r="C89">
        <v>1</v>
      </c>
      <c r="D89" t="s">
        <v>51</v>
      </c>
      <c r="E89" t="s">
        <v>59</v>
      </c>
      <c r="F89" t="s">
        <v>60</v>
      </c>
      <c r="G89" t="s">
        <v>65</v>
      </c>
      <c r="H89">
        <v>0</v>
      </c>
      <c r="I89">
        <v>1</v>
      </c>
      <c r="J89">
        <v>10</v>
      </c>
      <c r="K89" t="s">
        <v>147</v>
      </c>
      <c r="L89">
        <v>30.85</v>
      </c>
      <c r="M89">
        <v>7</v>
      </c>
      <c r="N89">
        <v>2</v>
      </c>
      <c r="O89">
        <v>2</v>
      </c>
      <c r="P89">
        <v>100</v>
      </c>
      <c r="Q89">
        <v>1</v>
      </c>
      <c r="R89">
        <v>2</v>
      </c>
      <c r="S89">
        <v>50</v>
      </c>
      <c r="T89">
        <v>3</v>
      </c>
      <c r="U89">
        <v>4</v>
      </c>
      <c r="V89">
        <v>75</v>
      </c>
      <c r="W89">
        <v>0</v>
      </c>
      <c r="X89">
        <v>0</v>
      </c>
      <c r="Y89">
        <v>0</v>
      </c>
      <c r="Z89">
        <v>1</v>
      </c>
      <c r="AA89">
        <v>2</v>
      </c>
      <c r="AB89">
        <v>3</v>
      </c>
      <c r="AC89">
        <v>1</v>
      </c>
      <c r="AD89">
        <v>3</v>
      </c>
      <c r="AE89">
        <v>3</v>
      </c>
      <c r="AF89">
        <v>0</v>
      </c>
      <c r="AG89">
        <v>0</v>
      </c>
      <c r="AH89">
        <v>0</v>
      </c>
      <c r="AI89">
        <v>2</v>
      </c>
      <c r="AJ89">
        <v>0</v>
      </c>
      <c r="AK89">
        <v>8</v>
      </c>
      <c r="AL89">
        <v>-21</v>
      </c>
      <c r="AM89">
        <v>7</v>
      </c>
      <c r="AN89">
        <v>0.22690437601296601</v>
      </c>
      <c r="AO89">
        <v>87.5</v>
      </c>
      <c r="AP89">
        <v>42.86</v>
      </c>
      <c r="AQ89">
        <v>0</v>
      </c>
      <c r="AR89">
        <v>50</v>
      </c>
      <c r="AS89">
        <v>50</v>
      </c>
      <c r="AT89">
        <v>0</v>
      </c>
    </row>
    <row r="90" spans="1:46" x14ac:dyDescent="0.25">
      <c r="A90" s="1">
        <v>88</v>
      </c>
      <c r="B90" t="s">
        <v>52</v>
      </c>
      <c r="C90">
        <v>1</v>
      </c>
      <c r="D90" t="s">
        <v>51</v>
      </c>
      <c r="E90" t="s">
        <v>59</v>
      </c>
      <c r="F90" t="s">
        <v>60</v>
      </c>
      <c r="G90" t="s">
        <v>65</v>
      </c>
      <c r="H90">
        <v>0</v>
      </c>
      <c r="I90">
        <v>1</v>
      </c>
      <c r="J90">
        <v>11</v>
      </c>
      <c r="K90" t="s">
        <v>148</v>
      </c>
      <c r="L90">
        <v>28.533333333333331</v>
      </c>
      <c r="M90">
        <v>10</v>
      </c>
      <c r="N90">
        <v>1</v>
      </c>
      <c r="O90">
        <v>5</v>
      </c>
      <c r="P90">
        <v>20</v>
      </c>
      <c r="Q90">
        <v>2</v>
      </c>
      <c r="R90">
        <v>4</v>
      </c>
      <c r="S90">
        <v>50</v>
      </c>
      <c r="T90">
        <v>3</v>
      </c>
      <c r="U90">
        <v>9</v>
      </c>
      <c r="V90">
        <v>33.299999999999997</v>
      </c>
      <c r="W90">
        <v>2</v>
      </c>
      <c r="X90">
        <v>2</v>
      </c>
      <c r="Y90">
        <v>100</v>
      </c>
      <c r="Z90">
        <v>0</v>
      </c>
      <c r="AA90">
        <v>5</v>
      </c>
      <c r="AB90">
        <v>5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5</v>
      </c>
      <c r="AK90">
        <v>13</v>
      </c>
      <c r="AL90">
        <v>-18</v>
      </c>
      <c r="AM90">
        <v>10.88</v>
      </c>
      <c r="AN90">
        <v>0.38130841121495329</v>
      </c>
      <c r="AO90">
        <v>50.61</v>
      </c>
      <c r="AP90">
        <v>9.19</v>
      </c>
      <c r="AQ90">
        <v>0.22222222222222221</v>
      </c>
      <c r="AR90">
        <v>50.61</v>
      </c>
      <c r="AS90">
        <v>40.49</v>
      </c>
      <c r="AT90">
        <v>8.91</v>
      </c>
    </row>
    <row r="91" spans="1:46" x14ac:dyDescent="0.25">
      <c r="A91" s="1">
        <v>89</v>
      </c>
      <c r="B91" t="s">
        <v>52</v>
      </c>
      <c r="C91">
        <v>1</v>
      </c>
      <c r="D91" t="s">
        <v>51</v>
      </c>
      <c r="E91" t="s">
        <v>59</v>
      </c>
      <c r="F91" t="s">
        <v>60</v>
      </c>
      <c r="G91" t="s">
        <v>65</v>
      </c>
      <c r="H91">
        <v>0</v>
      </c>
      <c r="I91">
        <v>0</v>
      </c>
      <c r="J91">
        <v>13</v>
      </c>
      <c r="K91" t="s">
        <v>149</v>
      </c>
      <c r="L91">
        <v>7.0166666666666666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4</v>
      </c>
      <c r="AJ91">
        <v>0</v>
      </c>
      <c r="AK91">
        <v>-5</v>
      </c>
      <c r="AL91">
        <v>-6</v>
      </c>
      <c r="AM91">
        <v>1</v>
      </c>
      <c r="AN91">
        <v>0.14251781472684091</v>
      </c>
      <c r="AP91">
        <v>100</v>
      </c>
      <c r="AR91">
        <v>0</v>
      </c>
      <c r="AS91">
        <v>0</v>
      </c>
      <c r="AT91">
        <v>0</v>
      </c>
    </row>
    <row r="92" spans="1:46" x14ac:dyDescent="0.25">
      <c r="A92" s="1">
        <v>90</v>
      </c>
      <c r="B92" t="s">
        <v>52</v>
      </c>
      <c r="C92">
        <v>1</v>
      </c>
      <c r="D92" t="s">
        <v>51</v>
      </c>
      <c r="E92" t="s">
        <v>59</v>
      </c>
      <c r="F92" t="s">
        <v>60</v>
      </c>
      <c r="G92" t="s">
        <v>65</v>
      </c>
      <c r="H92">
        <v>0</v>
      </c>
      <c r="I92">
        <v>1</v>
      </c>
      <c r="J92">
        <v>19</v>
      </c>
      <c r="K92" t="s">
        <v>150</v>
      </c>
      <c r="L92">
        <v>14.46666666666667</v>
      </c>
      <c r="M92">
        <v>1</v>
      </c>
      <c r="N92">
        <v>0</v>
      </c>
      <c r="O92">
        <v>2</v>
      </c>
      <c r="P92">
        <v>0</v>
      </c>
      <c r="Q92">
        <v>0</v>
      </c>
      <c r="R92">
        <v>3</v>
      </c>
      <c r="S92">
        <v>0</v>
      </c>
      <c r="T92">
        <v>0</v>
      </c>
      <c r="U92">
        <v>5</v>
      </c>
      <c r="V92">
        <v>0</v>
      </c>
      <c r="W92">
        <v>1</v>
      </c>
      <c r="X92">
        <v>2</v>
      </c>
      <c r="Y92">
        <v>50</v>
      </c>
      <c r="Z92">
        <v>0</v>
      </c>
      <c r="AA92">
        <v>2</v>
      </c>
      <c r="AB92">
        <v>2</v>
      </c>
      <c r="AC92">
        <v>1</v>
      </c>
      <c r="AD92">
        <v>0</v>
      </c>
      <c r="AE92">
        <v>1</v>
      </c>
      <c r="AF92">
        <v>0</v>
      </c>
      <c r="AG92">
        <v>1</v>
      </c>
      <c r="AH92">
        <v>0</v>
      </c>
      <c r="AI92">
        <v>1</v>
      </c>
      <c r="AJ92">
        <v>1</v>
      </c>
      <c r="AK92">
        <v>-3</v>
      </c>
      <c r="AL92">
        <v>-18</v>
      </c>
      <c r="AM92">
        <v>6.88</v>
      </c>
      <c r="AN92">
        <v>0.47557603686635941</v>
      </c>
      <c r="AO92">
        <v>8.5</v>
      </c>
      <c r="AP92">
        <v>14.53</v>
      </c>
      <c r="AQ92">
        <v>0.2</v>
      </c>
      <c r="AR92">
        <v>34.01</v>
      </c>
      <c r="AS92">
        <v>51.02</v>
      </c>
      <c r="AT92">
        <v>14.97</v>
      </c>
    </row>
    <row r="93" spans="1:46" x14ac:dyDescent="0.25">
      <c r="A93" s="1">
        <v>91</v>
      </c>
      <c r="B93" t="s">
        <v>52</v>
      </c>
      <c r="C93">
        <v>1</v>
      </c>
      <c r="D93" t="s">
        <v>51</v>
      </c>
      <c r="E93" t="s">
        <v>59</v>
      </c>
      <c r="F93" t="s">
        <v>60</v>
      </c>
      <c r="G93" t="s">
        <v>65</v>
      </c>
      <c r="H93">
        <v>0</v>
      </c>
      <c r="I93">
        <v>0</v>
      </c>
      <c r="J93">
        <v>21</v>
      </c>
      <c r="K93" t="s">
        <v>151</v>
      </c>
      <c r="L93">
        <v>15.56666666666667</v>
      </c>
      <c r="M93">
        <v>5</v>
      </c>
      <c r="N93">
        <v>2</v>
      </c>
      <c r="O93">
        <v>4</v>
      </c>
      <c r="P93">
        <v>50</v>
      </c>
      <c r="Q93">
        <v>0</v>
      </c>
      <c r="R93">
        <v>0</v>
      </c>
      <c r="S93">
        <v>0</v>
      </c>
      <c r="T93">
        <v>2</v>
      </c>
      <c r="U93">
        <v>4</v>
      </c>
      <c r="V93">
        <v>50</v>
      </c>
      <c r="W93">
        <v>1</v>
      </c>
      <c r="X93">
        <v>4</v>
      </c>
      <c r="Y93">
        <v>25</v>
      </c>
      <c r="Z93">
        <v>1</v>
      </c>
      <c r="AA93">
        <v>3</v>
      </c>
      <c r="AB93">
        <v>4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2</v>
      </c>
      <c r="AK93">
        <v>6</v>
      </c>
      <c r="AL93">
        <v>-7</v>
      </c>
      <c r="AM93">
        <v>5.76</v>
      </c>
      <c r="AN93">
        <v>0.37002141327623128</v>
      </c>
      <c r="AO93">
        <v>43.4</v>
      </c>
      <c r="AP93">
        <v>0</v>
      </c>
      <c r="AQ93">
        <v>0.25</v>
      </c>
      <c r="AR93">
        <v>69.44</v>
      </c>
      <c r="AS93">
        <v>0</v>
      </c>
      <c r="AT93">
        <v>30.56</v>
      </c>
    </row>
    <row r="94" spans="1:46" x14ac:dyDescent="0.25">
      <c r="A94" s="1">
        <v>92</v>
      </c>
      <c r="B94" t="s">
        <v>52</v>
      </c>
      <c r="C94">
        <v>1</v>
      </c>
      <c r="D94" t="s">
        <v>51</v>
      </c>
      <c r="E94" t="s">
        <v>59</v>
      </c>
      <c r="F94" t="s">
        <v>60</v>
      </c>
      <c r="G94" t="s">
        <v>65</v>
      </c>
      <c r="H94">
        <v>0</v>
      </c>
      <c r="I94">
        <v>0</v>
      </c>
      <c r="K94" t="s">
        <v>77</v>
      </c>
      <c r="L94">
        <v>200</v>
      </c>
      <c r="M94">
        <v>47</v>
      </c>
      <c r="N94">
        <v>13</v>
      </c>
      <c r="O94">
        <v>35</v>
      </c>
      <c r="P94">
        <v>37.1</v>
      </c>
      <c r="Q94">
        <v>4</v>
      </c>
      <c r="R94">
        <v>24</v>
      </c>
      <c r="S94">
        <v>16.7</v>
      </c>
      <c r="T94">
        <v>17</v>
      </c>
      <c r="U94">
        <v>59</v>
      </c>
      <c r="V94">
        <v>28.8</v>
      </c>
      <c r="W94">
        <v>9</v>
      </c>
      <c r="X94">
        <v>18</v>
      </c>
      <c r="Y94">
        <v>50</v>
      </c>
      <c r="Z94">
        <v>9</v>
      </c>
      <c r="AA94">
        <v>25</v>
      </c>
      <c r="AB94">
        <v>34</v>
      </c>
      <c r="AC94">
        <v>6</v>
      </c>
      <c r="AD94">
        <v>7</v>
      </c>
      <c r="AE94">
        <v>19</v>
      </c>
      <c r="AF94">
        <v>0</v>
      </c>
      <c r="AG94">
        <v>2</v>
      </c>
      <c r="AH94">
        <v>0</v>
      </c>
      <c r="AI94">
        <v>24</v>
      </c>
      <c r="AJ94">
        <v>19</v>
      </c>
      <c r="AK94">
        <v>19</v>
      </c>
      <c r="AM94">
        <v>85.92</v>
      </c>
      <c r="AN94">
        <v>0.42959999999999998</v>
      </c>
      <c r="AO94">
        <v>35.119999999999997</v>
      </c>
      <c r="AP94">
        <v>22.11</v>
      </c>
      <c r="AQ94">
        <v>0.15254237288135589</v>
      </c>
      <c r="AR94">
        <v>52.3</v>
      </c>
      <c r="AS94">
        <v>35.86</v>
      </c>
      <c r="AT94">
        <v>11.84</v>
      </c>
    </row>
    <row r="95" spans="1:46" x14ac:dyDescent="0.25">
      <c r="A95" s="1">
        <v>93</v>
      </c>
      <c r="B95" t="s">
        <v>53</v>
      </c>
      <c r="C95">
        <v>1</v>
      </c>
      <c r="D95" t="s">
        <v>54</v>
      </c>
      <c r="E95" t="s">
        <v>59</v>
      </c>
      <c r="F95" t="s">
        <v>61</v>
      </c>
      <c r="G95" t="s">
        <v>64</v>
      </c>
      <c r="H95">
        <v>1</v>
      </c>
      <c r="I95">
        <v>1</v>
      </c>
      <c r="J95">
        <v>0</v>
      </c>
      <c r="K95" t="s">
        <v>152</v>
      </c>
      <c r="L95">
        <v>19.216666666666669</v>
      </c>
      <c r="M95">
        <v>3</v>
      </c>
      <c r="N95">
        <v>1</v>
      </c>
      <c r="O95">
        <v>4</v>
      </c>
      <c r="P95">
        <v>25</v>
      </c>
      <c r="Q95">
        <v>0</v>
      </c>
      <c r="R95">
        <v>0</v>
      </c>
      <c r="S95">
        <v>0</v>
      </c>
      <c r="T95">
        <v>1</v>
      </c>
      <c r="U95">
        <v>4</v>
      </c>
      <c r="V95">
        <v>25</v>
      </c>
      <c r="W95">
        <v>1</v>
      </c>
      <c r="X95">
        <v>3</v>
      </c>
      <c r="Y95">
        <v>33.299999999999997</v>
      </c>
      <c r="Z95">
        <v>0</v>
      </c>
      <c r="AA95">
        <v>2</v>
      </c>
      <c r="AB95">
        <v>2</v>
      </c>
      <c r="AC95">
        <v>1</v>
      </c>
      <c r="AD95">
        <v>0</v>
      </c>
      <c r="AE95">
        <v>2</v>
      </c>
      <c r="AF95">
        <v>0</v>
      </c>
      <c r="AG95">
        <v>0</v>
      </c>
      <c r="AH95">
        <v>0</v>
      </c>
      <c r="AI95">
        <v>1</v>
      </c>
      <c r="AJ95">
        <v>4</v>
      </c>
      <c r="AK95">
        <v>2</v>
      </c>
      <c r="AL95">
        <v>9</v>
      </c>
      <c r="AM95">
        <v>7.32</v>
      </c>
      <c r="AN95">
        <v>0.38091934084995671</v>
      </c>
      <c r="AO95">
        <v>28.2</v>
      </c>
      <c r="AP95">
        <v>27.32</v>
      </c>
      <c r="AQ95">
        <v>0.25</v>
      </c>
      <c r="AR95">
        <v>75.19</v>
      </c>
      <c r="AS95">
        <v>0</v>
      </c>
      <c r="AT95">
        <v>24.81</v>
      </c>
    </row>
    <row r="96" spans="1:46" x14ac:dyDescent="0.25">
      <c r="A96" s="1">
        <v>94</v>
      </c>
      <c r="B96" t="s">
        <v>53</v>
      </c>
      <c r="C96">
        <v>1</v>
      </c>
      <c r="D96" t="s">
        <v>54</v>
      </c>
      <c r="E96" t="s">
        <v>59</v>
      </c>
      <c r="F96" t="s">
        <v>61</v>
      </c>
      <c r="G96" t="s">
        <v>64</v>
      </c>
      <c r="H96">
        <v>1</v>
      </c>
      <c r="I96">
        <v>1</v>
      </c>
      <c r="J96">
        <v>2</v>
      </c>
      <c r="K96" t="s">
        <v>153</v>
      </c>
      <c r="L96">
        <v>29.05</v>
      </c>
      <c r="M96">
        <v>14</v>
      </c>
      <c r="N96">
        <v>0</v>
      </c>
      <c r="O96">
        <v>2</v>
      </c>
      <c r="P96">
        <v>0</v>
      </c>
      <c r="Q96">
        <v>4</v>
      </c>
      <c r="R96">
        <v>9</v>
      </c>
      <c r="S96">
        <v>44.4</v>
      </c>
      <c r="T96">
        <v>4</v>
      </c>
      <c r="U96">
        <v>11</v>
      </c>
      <c r="V96">
        <v>36.4</v>
      </c>
      <c r="W96">
        <v>2</v>
      </c>
      <c r="X96">
        <v>4</v>
      </c>
      <c r="Y96">
        <v>50</v>
      </c>
      <c r="Z96">
        <v>0</v>
      </c>
      <c r="AA96">
        <v>4</v>
      </c>
      <c r="AB96">
        <v>4</v>
      </c>
      <c r="AC96">
        <v>2</v>
      </c>
      <c r="AD96">
        <v>0</v>
      </c>
      <c r="AE96">
        <v>2</v>
      </c>
      <c r="AF96">
        <v>0</v>
      </c>
      <c r="AG96">
        <v>0</v>
      </c>
      <c r="AH96">
        <v>0</v>
      </c>
      <c r="AI96">
        <v>0</v>
      </c>
      <c r="AJ96">
        <v>2</v>
      </c>
      <c r="AK96">
        <v>11</v>
      </c>
      <c r="AL96">
        <v>7</v>
      </c>
      <c r="AM96">
        <v>14.76</v>
      </c>
      <c r="AN96">
        <v>0.50808950086058513</v>
      </c>
      <c r="AO96">
        <v>54.86</v>
      </c>
      <c r="AP96">
        <v>13.55</v>
      </c>
      <c r="AQ96">
        <v>0.1818181818181818</v>
      </c>
      <c r="AR96">
        <v>15.67</v>
      </c>
      <c r="AS96">
        <v>70.53</v>
      </c>
      <c r="AT96">
        <v>13.79</v>
      </c>
    </row>
    <row r="97" spans="1:46" x14ac:dyDescent="0.25">
      <c r="A97" s="1">
        <v>95</v>
      </c>
      <c r="B97" t="s">
        <v>53</v>
      </c>
      <c r="C97">
        <v>1</v>
      </c>
      <c r="D97" t="s">
        <v>54</v>
      </c>
      <c r="E97" t="s">
        <v>59</v>
      </c>
      <c r="F97" t="s">
        <v>61</v>
      </c>
      <c r="G97" t="s">
        <v>64</v>
      </c>
      <c r="H97">
        <v>1</v>
      </c>
      <c r="I97">
        <v>0</v>
      </c>
      <c r="J97">
        <v>4</v>
      </c>
      <c r="K97" t="s">
        <v>154</v>
      </c>
      <c r="L97">
        <v>10.95</v>
      </c>
      <c r="M97">
        <v>4</v>
      </c>
      <c r="N97">
        <v>2</v>
      </c>
      <c r="O97">
        <v>4</v>
      </c>
      <c r="P97">
        <v>50</v>
      </c>
      <c r="Q97">
        <v>0</v>
      </c>
      <c r="R97">
        <v>0</v>
      </c>
      <c r="S97">
        <v>0</v>
      </c>
      <c r="T97">
        <v>2</v>
      </c>
      <c r="U97">
        <v>4</v>
      </c>
      <c r="V97">
        <v>50</v>
      </c>
      <c r="W97">
        <v>0</v>
      </c>
      <c r="X97">
        <v>0</v>
      </c>
      <c r="Y97">
        <v>0</v>
      </c>
      <c r="Z97">
        <v>1</v>
      </c>
      <c r="AA97">
        <v>3</v>
      </c>
      <c r="AB97">
        <v>4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2</v>
      </c>
      <c r="AJ97">
        <v>0</v>
      </c>
      <c r="AK97">
        <v>3</v>
      </c>
      <c r="AL97">
        <v>7</v>
      </c>
      <c r="AM97">
        <v>5</v>
      </c>
      <c r="AN97">
        <v>0.45662100456621008</v>
      </c>
      <c r="AO97">
        <v>50</v>
      </c>
      <c r="AP97">
        <v>20</v>
      </c>
      <c r="AQ97">
        <v>0</v>
      </c>
      <c r="AR97">
        <v>100</v>
      </c>
      <c r="AS97">
        <v>0</v>
      </c>
      <c r="AT97">
        <v>0</v>
      </c>
    </row>
    <row r="98" spans="1:46" x14ac:dyDescent="0.25">
      <c r="A98" s="1">
        <v>96</v>
      </c>
      <c r="B98" t="s">
        <v>53</v>
      </c>
      <c r="C98">
        <v>1</v>
      </c>
      <c r="D98" t="s">
        <v>54</v>
      </c>
      <c r="E98" t="s">
        <v>59</v>
      </c>
      <c r="F98" t="s">
        <v>61</v>
      </c>
      <c r="G98" t="s">
        <v>64</v>
      </c>
      <c r="H98">
        <v>1</v>
      </c>
      <c r="I98">
        <v>0</v>
      </c>
      <c r="J98">
        <v>7</v>
      </c>
      <c r="K98" t="s">
        <v>155</v>
      </c>
      <c r="L98">
        <v>21.06666666666667</v>
      </c>
      <c r="M98">
        <v>8</v>
      </c>
      <c r="N98">
        <v>2</v>
      </c>
      <c r="O98">
        <v>3</v>
      </c>
      <c r="P98">
        <v>66.7</v>
      </c>
      <c r="Q98">
        <v>0</v>
      </c>
      <c r="R98">
        <v>2</v>
      </c>
      <c r="S98">
        <v>0</v>
      </c>
      <c r="T98">
        <v>2</v>
      </c>
      <c r="U98">
        <v>5</v>
      </c>
      <c r="V98">
        <v>40</v>
      </c>
      <c r="W98">
        <v>4</v>
      </c>
      <c r="X98">
        <v>5</v>
      </c>
      <c r="Y98">
        <v>80</v>
      </c>
      <c r="Z98">
        <v>3</v>
      </c>
      <c r="AA98">
        <v>1</v>
      </c>
      <c r="AB98">
        <v>4</v>
      </c>
      <c r="AC98">
        <v>2</v>
      </c>
      <c r="AD98">
        <v>4</v>
      </c>
      <c r="AE98">
        <v>3</v>
      </c>
      <c r="AF98">
        <v>0</v>
      </c>
      <c r="AG98">
        <v>1</v>
      </c>
      <c r="AH98">
        <v>0</v>
      </c>
      <c r="AI98">
        <v>3</v>
      </c>
      <c r="AJ98">
        <v>3</v>
      </c>
      <c r="AK98">
        <v>11</v>
      </c>
      <c r="AL98">
        <v>7</v>
      </c>
      <c r="AM98">
        <v>10.199999999999999</v>
      </c>
      <c r="AN98">
        <v>0.48417721518987339</v>
      </c>
      <c r="AO98">
        <v>55.56</v>
      </c>
      <c r="AP98">
        <v>29.41</v>
      </c>
      <c r="AQ98">
        <v>0.8</v>
      </c>
      <c r="AR98">
        <v>41.67</v>
      </c>
      <c r="AS98">
        <v>27.78</v>
      </c>
      <c r="AT98">
        <v>30.56</v>
      </c>
    </row>
    <row r="99" spans="1:46" x14ac:dyDescent="0.25">
      <c r="A99" s="1">
        <v>97</v>
      </c>
      <c r="B99" t="s">
        <v>53</v>
      </c>
      <c r="C99">
        <v>1</v>
      </c>
      <c r="D99" t="s">
        <v>54</v>
      </c>
      <c r="E99" t="s">
        <v>59</v>
      </c>
      <c r="F99" t="s">
        <v>61</v>
      </c>
      <c r="G99" t="s">
        <v>64</v>
      </c>
      <c r="H99">
        <v>1</v>
      </c>
      <c r="I99">
        <v>1</v>
      </c>
      <c r="J99">
        <v>8</v>
      </c>
      <c r="K99" t="s">
        <v>156</v>
      </c>
      <c r="L99">
        <v>15.883333333333329</v>
      </c>
      <c r="M99">
        <v>7</v>
      </c>
      <c r="N99">
        <v>1</v>
      </c>
      <c r="O99">
        <v>2</v>
      </c>
      <c r="P99">
        <v>50</v>
      </c>
      <c r="Q99">
        <v>1</v>
      </c>
      <c r="R99">
        <v>2</v>
      </c>
      <c r="S99">
        <v>50</v>
      </c>
      <c r="T99">
        <v>2</v>
      </c>
      <c r="U99">
        <v>4</v>
      </c>
      <c r="V99">
        <v>50</v>
      </c>
      <c r="W99">
        <v>2</v>
      </c>
      <c r="X99">
        <v>2</v>
      </c>
      <c r="Y99">
        <v>100</v>
      </c>
      <c r="Z99">
        <v>2</v>
      </c>
      <c r="AA99">
        <v>3</v>
      </c>
      <c r="AB99">
        <v>5</v>
      </c>
      <c r="AC99">
        <v>2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4</v>
      </c>
      <c r="AJ99">
        <v>3</v>
      </c>
      <c r="AK99">
        <v>10</v>
      </c>
      <c r="AL99">
        <v>8</v>
      </c>
      <c r="AM99">
        <v>5.88</v>
      </c>
      <c r="AN99">
        <v>0.37019937040923401</v>
      </c>
      <c r="AO99">
        <v>71.72</v>
      </c>
      <c r="AP99">
        <v>17.010000000000002</v>
      </c>
      <c r="AQ99">
        <v>0.5</v>
      </c>
      <c r="AR99">
        <v>40.98</v>
      </c>
      <c r="AS99">
        <v>40.98</v>
      </c>
      <c r="AT99">
        <v>18.03</v>
      </c>
    </row>
    <row r="100" spans="1:46" x14ac:dyDescent="0.25">
      <c r="A100" s="1">
        <v>98</v>
      </c>
      <c r="B100" t="s">
        <v>53</v>
      </c>
      <c r="C100">
        <v>1</v>
      </c>
      <c r="D100" t="s">
        <v>54</v>
      </c>
      <c r="E100" t="s">
        <v>59</v>
      </c>
      <c r="F100" t="s">
        <v>61</v>
      </c>
      <c r="G100" t="s">
        <v>64</v>
      </c>
      <c r="H100">
        <v>1</v>
      </c>
      <c r="I100">
        <v>0</v>
      </c>
      <c r="J100">
        <v>9</v>
      </c>
      <c r="K100" t="s">
        <v>157</v>
      </c>
      <c r="L100">
        <v>3.05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0</v>
      </c>
      <c r="AK100">
        <v>-2</v>
      </c>
      <c r="AL100">
        <v>-1</v>
      </c>
      <c r="AM100">
        <v>1</v>
      </c>
      <c r="AN100">
        <v>0.32786885245901642</v>
      </c>
      <c r="AO100">
        <v>0</v>
      </c>
      <c r="AP100">
        <v>0</v>
      </c>
      <c r="AQ100">
        <v>0</v>
      </c>
      <c r="AR100">
        <v>0</v>
      </c>
      <c r="AS100">
        <v>100</v>
      </c>
      <c r="AT100">
        <v>0</v>
      </c>
    </row>
    <row r="101" spans="1:46" x14ac:dyDescent="0.25">
      <c r="A101" s="1">
        <v>99</v>
      </c>
      <c r="B101" t="s">
        <v>53</v>
      </c>
      <c r="C101">
        <v>1</v>
      </c>
      <c r="D101" t="s">
        <v>54</v>
      </c>
      <c r="E101" t="s">
        <v>59</v>
      </c>
      <c r="F101" t="s">
        <v>61</v>
      </c>
      <c r="G101" t="s">
        <v>64</v>
      </c>
      <c r="H101">
        <v>1</v>
      </c>
      <c r="I101">
        <v>0</v>
      </c>
      <c r="J101">
        <v>11</v>
      </c>
      <c r="K101" t="s">
        <v>158</v>
      </c>
      <c r="L101">
        <v>20.783333333333331</v>
      </c>
      <c r="M101">
        <v>11</v>
      </c>
      <c r="N101">
        <v>3</v>
      </c>
      <c r="O101">
        <v>8</v>
      </c>
      <c r="P101">
        <v>37.5</v>
      </c>
      <c r="Q101">
        <v>0</v>
      </c>
      <c r="R101">
        <v>0</v>
      </c>
      <c r="S101">
        <v>0</v>
      </c>
      <c r="T101">
        <v>3</v>
      </c>
      <c r="U101">
        <v>8</v>
      </c>
      <c r="V101">
        <v>37.5</v>
      </c>
      <c r="W101">
        <v>5</v>
      </c>
      <c r="X101">
        <v>6</v>
      </c>
      <c r="Y101">
        <v>83.3</v>
      </c>
      <c r="Z101">
        <v>3</v>
      </c>
      <c r="AA101">
        <v>4</v>
      </c>
      <c r="AB101">
        <v>7</v>
      </c>
      <c r="AC101">
        <v>0</v>
      </c>
      <c r="AD101">
        <v>0</v>
      </c>
      <c r="AE101">
        <v>2</v>
      </c>
      <c r="AF101">
        <v>1</v>
      </c>
      <c r="AG101">
        <v>1</v>
      </c>
      <c r="AH101">
        <v>0</v>
      </c>
      <c r="AI101">
        <v>2</v>
      </c>
      <c r="AJ101">
        <v>3</v>
      </c>
      <c r="AK101">
        <v>12</v>
      </c>
      <c r="AL101">
        <v>5</v>
      </c>
      <c r="AM101">
        <v>12.64</v>
      </c>
      <c r="AN101">
        <v>0.60817963111467521</v>
      </c>
      <c r="AO101">
        <v>51.69</v>
      </c>
      <c r="AP101">
        <v>15.82</v>
      </c>
      <c r="AQ101">
        <v>0.625</v>
      </c>
      <c r="AR101">
        <v>75.19</v>
      </c>
      <c r="AS101">
        <v>0</v>
      </c>
      <c r="AT101">
        <v>24.81</v>
      </c>
    </row>
    <row r="102" spans="1:46" x14ac:dyDescent="0.25">
      <c r="A102" s="1">
        <v>100</v>
      </c>
      <c r="B102" t="s">
        <v>53</v>
      </c>
      <c r="C102">
        <v>1</v>
      </c>
      <c r="D102" t="s">
        <v>54</v>
      </c>
      <c r="E102" t="s">
        <v>59</v>
      </c>
      <c r="F102" t="s">
        <v>61</v>
      </c>
      <c r="G102" t="s">
        <v>64</v>
      </c>
      <c r="H102">
        <v>1</v>
      </c>
      <c r="I102">
        <v>1</v>
      </c>
      <c r="J102">
        <v>14</v>
      </c>
      <c r="K102" t="s">
        <v>159</v>
      </c>
      <c r="L102">
        <v>29.25</v>
      </c>
      <c r="M102">
        <v>22</v>
      </c>
      <c r="N102">
        <v>3</v>
      </c>
      <c r="O102">
        <v>6</v>
      </c>
      <c r="P102">
        <v>50</v>
      </c>
      <c r="Q102">
        <v>4</v>
      </c>
      <c r="R102">
        <v>8</v>
      </c>
      <c r="S102">
        <v>50</v>
      </c>
      <c r="T102">
        <v>7</v>
      </c>
      <c r="U102">
        <v>14</v>
      </c>
      <c r="V102">
        <v>50</v>
      </c>
      <c r="W102">
        <v>4</v>
      </c>
      <c r="X102">
        <v>4</v>
      </c>
      <c r="Y102">
        <v>100</v>
      </c>
      <c r="Z102">
        <v>0</v>
      </c>
      <c r="AA102">
        <v>8</v>
      </c>
      <c r="AB102">
        <v>8</v>
      </c>
      <c r="AC102">
        <v>0</v>
      </c>
      <c r="AD102">
        <v>2</v>
      </c>
      <c r="AE102">
        <v>2</v>
      </c>
      <c r="AF102">
        <v>1</v>
      </c>
      <c r="AG102">
        <v>1</v>
      </c>
      <c r="AH102">
        <v>0</v>
      </c>
      <c r="AI102">
        <v>1</v>
      </c>
      <c r="AJ102">
        <v>8</v>
      </c>
      <c r="AK102">
        <v>31</v>
      </c>
      <c r="AL102">
        <v>11</v>
      </c>
      <c r="AM102">
        <v>17.760000000000002</v>
      </c>
      <c r="AN102">
        <v>0.60717948717948711</v>
      </c>
      <c r="AO102">
        <v>69.8</v>
      </c>
      <c r="AP102">
        <v>11.26</v>
      </c>
      <c r="AQ102">
        <v>0.2857142857142857</v>
      </c>
      <c r="AR102">
        <v>38.07</v>
      </c>
      <c r="AS102">
        <v>50.76</v>
      </c>
      <c r="AT102">
        <v>11.17</v>
      </c>
    </row>
    <row r="103" spans="1:46" x14ac:dyDescent="0.25">
      <c r="A103" s="1">
        <v>101</v>
      </c>
      <c r="B103" t="s">
        <v>53</v>
      </c>
      <c r="C103">
        <v>1</v>
      </c>
      <c r="D103" t="s">
        <v>54</v>
      </c>
      <c r="E103" t="s">
        <v>59</v>
      </c>
      <c r="F103" t="s">
        <v>61</v>
      </c>
      <c r="G103" t="s">
        <v>64</v>
      </c>
      <c r="H103">
        <v>1</v>
      </c>
      <c r="I103">
        <v>0</v>
      </c>
      <c r="J103">
        <v>15</v>
      </c>
      <c r="K103" t="s">
        <v>160</v>
      </c>
      <c r="L103">
        <v>11.7</v>
      </c>
      <c r="M103">
        <v>4</v>
      </c>
      <c r="N103">
        <v>0</v>
      </c>
      <c r="O103">
        <v>0</v>
      </c>
      <c r="P103">
        <v>0</v>
      </c>
      <c r="Q103">
        <v>1</v>
      </c>
      <c r="R103">
        <v>3</v>
      </c>
      <c r="S103">
        <v>33.299999999999997</v>
      </c>
      <c r="T103">
        <v>1</v>
      </c>
      <c r="U103">
        <v>3</v>
      </c>
      <c r="V103">
        <v>33.299999999999997</v>
      </c>
      <c r="W103">
        <v>1</v>
      </c>
      <c r="X103">
        <v>2</v>
      </c>
      <c r="Y103">
        <v>50</v>
      </c>
      <c r="Z103">
        <v>2</v>
      </c>
      <c r="AA103">
        <v>0</v>
      </c>
      <c r="AB103">
        <v>2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1</v>
      </c>
      <c r="AJ103">
        <v>1</v>
      </c>
      <c r="AK103">
        <v>2</v>
      </c>
      <c r="AL103">
        <v>3</v>
      </c>
      <c r="AM103">
        <v>4.88</v>
      </c>
      <c r="AN103">
        <v>0.41709401709401711</v>
      </c>
      <c r="AO103">
        <v>51.55</v>
      </c>
      <c r="AP103">
        <v>20.49</v>
      </c>
      <c r="AQ103">
        <v>0.33333333333333331</v>
      </c>
      <c r="AR103">
        <v>0</v>
      </c>
      <c r="AS103">
        <v>77.319999999999993</v>
      </c>
      <c r="AT103">
        <v>22.68</v>
      </c>
    </row>
    <row r="104" spans="1:46" x14ac:dyDescent="0.25">
      <c r="A104" s="1">
        <v>102</v>
      </c>
      <c r="B104" t="s">
        <v>53</v>
      </c>
      <c r="C104">
        <v>1</v>
      </c>
      <c r="D104" t="s">
        <v>54</v>
      </c>
      <c r="E104" t="s">
        <v>59</v>
      </c>
      <c r="F104" t="s">
        <v>61</v>
      </c>
      <c r="G104" t="s">
        <v>64</v>
      </c>
      <c r="H104">
        <v>1</v>
      </c>
      <c r="I104">
        <v>0</v>
      </c>
      <c r="J104">
        <v>22</v>
      </c>
      <c r="K104" t="s">
        <v>161</v>
      </c>
      <c r="L104">
        <v>15.68333333333333</v>
      </c>
      <c r="M104">
        <v>3</v>
      </c>
      <c r="N104">
        <v>0</v>
      </c>
      <c r="O104">
        <v>0</v>
      </c>
      <c r="P104">
        <v>0</v>
      </c>
      <c r="Q104">
        <v>1</v>
      </c>
      <c r="R104">
        <v>1</v>
      </c>
      <c r="S104">
        <v>100</v>
      </c>
      <c r="T104">
        <v>1</v>
      </c>
      <c r="U104">
        <v>1</v>
      </c>
      <c r="V104">
        <v>100</v>
      </c>
      <c r="W104">
        <v>0</v>
      </c>
      <c r="X104">
        <v>0</v>
      </c>
      <c r="Y104">
        <v>0</v>
      </c>
      <c r="Z104">
        <v>2</v>
      </c>
      <c r="AA104">
        <v>3</v>
      </c>
      <c r="AB104">
        <v>5</v>
      </c>
      <c r="AC104">
        <v>4</v>
      </c>
      <c r="AD104">
        <v>1</v>
      </c>
      <c r="AE104">
        <v>2</v>
      </c>
      <c r="AF104">
        <v>0</v>
      </c>
      <c r="AG104">
        <v>0</v>
      </c>
      <c r="AH104">
        <v>0</v>
      </c>
      <c r="AI104">
        <v>2</v>
      </c>
      <c r="AJ104">
        <v>1</v>
      </c>
      <c r="AK104">
        <v>10</v>
      </c>
      <c r="AL104">
        <v>12</v>
      </c>
      <c r="AM104">
        <v>3</v>
      </c>
      <c r="AN104">
        <v>0.1912858660998937</v>
      </c>
      <c r="AO104">
        <v>150</v>
      </c>
      <c r="AP104">
        <v>66.67</v>
      </c>
      <c r="AQ104">
        <v>0</v>
      </c>
      <c r="AR104">
        <v>0</v>
      </c>
      <c r="AS104">
        <v>100</v>
      </c>
      <c r="AT104">
        <v>0</v>
      </c>
    </row>
    <row r="105" spans="1:46" x14ac:dyDescent="0.25">
      <c r="A105" s="1">
        <v>103</v>
      </c>
      <c r="B105" t="s">
        <v>53</v>
      </c>
      <c r="C105">
        <v>1</v>
      </c>
      <c r="D105" t="s">
        <v>54</v>
      </c>
      <c r="E105" t="s">
        <v>59</v>
      </c>
      <c r="F105" t="s">
        <v>61</v>
      </c>
      <c r="G105" t="s">
        <v>64</v>
      </c>
      <c r="H105">
        <v>1</v>
      </c>
      <c r="I105">
        <v>1</v>
      </c>
      <c r="J105">
        <v>31</v>
      </c>
      <c r="K105" t="s">
        <v>162</v>
      </c>
      <c r="L105">
        <v>23.366666666666671</v>
      </c>
      <c r="M105">
        <v>4</v>
      </c>
      <c r="N105">
        <v>2</v>
      </c>
      <c r="O105">
        <v>4</v>
      </c>
      <c r="P105">
        <v>50</v>
      </c>
      <c r="Q105">
        <v>0</v>
      </c>
      <c r="R105">
        <v>4</v>
      </c>
      <c r="S105">
        <v>0</v>
      </c>
      <c r="T105">
        <v>2</v>
      </c>
      <c r="U105">
        <v>8</v>
      </c>
      <c r="V105">
        <v>25</v>
      </c>
      <c r="W105">
        <v>0</v>
      </c>
      <c r="X105">
        <v>0</v>
      </c>
      <c r="Y105">
        <v>0</v>
      </c>
      <c r="Z105">
        <v>3</v>
      </c>
      <c r="AA105">
        <v>2</v>
      </c>
      <c r="AB105">
        <v>5</v>
      </c>
      <c r="AC105">
        <v>2</v>
      </c>
      <c r="AD105">
        <v>1</v>
      </c>
      <c r="AE105">
        <v>2</v>
      </c>
      <c r="AF105">
        <v>0</v>
      </c>
      <c r="AG105">
        <v>0</v>
      </c>
      <c r="AH105">
        <v>0</v>
      </c>
      <c r="AI105">
        <v>2</v>
      </c>
      <c r="AJ105">
        <v>0</v>
      </c>
      <c r="AK105">
        <v>2</v>
      </c>
      <c r="AL105">
        <v>2</v>
      </c>
      <c r="AM105">
        <v>10</v>
      </c>
      <c r="AN105">
        <v>0.42796005706134088</v>
      </c>
      <c r="AO105">
        <v>25</v>
      </c>
      <c r="AP105">
        <v>20</v>
      </c>
      <c r="AQ105">
        <v>0</v>
      </c>
      <c r="AR105">
        <v>50</v>
      </c>
      <c r="AS105">
        <v>50</v>
      </c>
      <c r="AT105">
        <v>0</v>
      </c>
    </row>
    <row r="106" spans="1:46" x14ac:dyDescent="0.25">
      <c r="A106" s="1">
        <v>104</v>
      </c>
      <c r="B106" t="s">
        <v>53</v>
      </c>
      <c r="C106">
        <v>1</v>
      </c>
      <c r="D106" t="s">
        <v>54</v>
      </c>
      <c r="E106" t="s">
        <v>59</v>
      </c>
      <c r="F106" t="s">
        <v>61</v>
      </c>
      <c r="G106" t="s">
        <v>64</v>
      </c>
      <c r="H106">
        <v>1</v>
      </c>
      <c r="I106">
        <v>0</v>
      </c>
      <c r="K106" t="s">
        <v>77</v>
      </c>
      <c r="L106">
        <v>200</v>
      </c>
      <c r="M106">
        <v>80</v>
      </c>
      <c r="N106">
        <v>14</v>
      </c>
      <c r="O106">
        <v>33</v>
      </c>
      <c r="P106">
        <v>42.4</v>
      </c>
      <c r="Q106">
        <v>11</v>
      </c>
      <c r="R106">
        <v>30</v>
      </c>
      <c r="S106">
        <v>36.700000000000003</v>
      </c>
      <c r="T106">
        <v>25</v>
      </c>
      <c r="U106">
        <v>63</v>
      </c>
      <c r="V106">
        <v>39.700000000000003</v>
      </c>
      <c r="W106">
        <v>19</v>
      </c>
      <c r="X106">
        <v>26</v>
      </c>
      <c r="Y106">
        <v>73.099999999999994</v>
      </c>
      <c r="Z106">
        <v>16</v>
      </c>
      <c r="AA106">
        <v>30</v>
      </c>
      <c r="AB106">
        <v>46</v>
      </c>
      <c r="AC106">
        <v>13</v>
      </c>
      <c r="AD106">
        <v>8</v>
      </c>
      <c r="AE106">
        <v>18</v>
      </c>
      <c r="AF106">
        <v>2</v>
      </c>
      <c r="AG106">
        <v>3</v>
      </c>
      <c r="AH106">
        <v>0</v>
      </c>
      <c r="AI106">
        <v>19</v>
      </c>
      <c r="AJ106">
        <v>25</v>
      </c>
      <c r="AK106">
        <v>92</v>
      </c>
      <c r="AM106">
        <v>92.44</v>
      </c>
      <c r="AN106">
        <v>0.4622</v>
      </c>
      <c r="AO106">
        <v>53.73</v>
      </c>
      <c r="AP106">
        <v>19.47</v>
      </c>
      <c r="AQ106">
        <v>0.30158730158730163</v>
      </c>
      <c r="AR106">
        <v>44.33</v>
      </c>
      <c r="AS106">
        <v>40.299999999999997</v>
      </c>
      <c r="AT106">
        <v>15.37</v>
      </c>
    </row>
    <row r="107" spans="1:46" x14ac:dyDescent="0.25">
      <c r="A107" s="1">
        <v>105</v>
      </c>
      <c r="B107" t="s">
        <v>54</v>
      </c>
      <c r="C107">
        <v>1</v>
      </c>
      <c r="D107" t="s">
        <v>53</v>
      </c>
      <c r="E107" t="s">
        <v>59</v>
      </c>
      <c r="F107" t="s">
        <v>61</v>
      </c>
      <c r="G107" t="s">
        <v>65</v>
      </c>
      <c r="H107">
        <v>0</v>
      </c>
      <c r="I107">
        <v>1</v>
      </c>
      <c r="J107">
        <v>3</v>
      </c>
      <c r="K107" t="s">
        <v>163</v>
      </c>
      <c r="L107">
        <v>29.916666666666671</v>
      </c>
      <c r="M107">
        <v>14</v>
      </c>
      <c r="N107">
        <v>0</v>
      </c>
      <c r="O107">
        <v>2</v>
      </c>
      <c r="P107">
        <v>0</v>
      </c>
      <c r="Q107">
        <v>3</v>
      </c>
      <c r="R107">
        <v>8</v>
      </c>
      <c r="S107">
        <v>37.5</v>
      </c>
      <c r="T107">
        <v>3</v>
      </c>
      <c r="U107">
        <v>10</v>
      </c>
      <c r="V107">
        <v>30</v>
      </c>
      <c r="W107">
        <v>5</v>
      </c>
      <c r="X107">
        <v>6</v>
      </c>
      <c r="Y107">
        <v>83.3</v>
      </c>
      <c r="Z107">
        <v>1</v>
      </c>
      <c r="AA107">
        <v>5</v>
      </c>
      <c r="AB107">
        <v>6</v>
      </c>
      <c r="AC107">
        <v>3</v>
      </c>
      <c r="AD107">
        <v>2</v>
      </c>
      <c r="AE107">
        <v>0</v>
      </c>
      <c r="AF107">
        <v>0</v>
      </c>
      <c r="AG107">
        <v>0</v>
      </c>
      <c r="AH107">
        <v>0</v>
      </c>
      <c r="AI107">
        <v>3</v>
      </c>
      <c r="AJ107">
        <v>5</v>
      </c>
      <c r="AK107">
        <v>19</v>
      </c>
      <c r="AL107">
        <v>-1</v>
      </c>
      <c r="AM107">
        <v>12.64</v>
      </c>
      <c r="AN107">
        <v>0.42250696378830083</v>
      </c>
      <c r="AO107">
        <v>55.38</v>
      </c>
      <c r="AP107">
        <v>0</v>
      </c>
      <c r="AQ107">
        <v>0.5</v>
      </c>
      <c r="AR107">
        <v>15.82</v>
      </c>
      <c r="AS107">
        <v>63.29</v>
      </c>
      <c r="AT107">
        <v>20.89</v>
      </c>
    </row>
    <row r="108" spans="1:46" x14ac:dyDescent="0.25">
      <c r="A108" s="1">
        <v>106</v>
      </c>
      <c r="B108" t="s">
        <v>54</v>
      </c>
      <c r="C108">
        <v>1</v>
      </c>
      <c r="D108" t="s">
        <v>53</v>
      </c>
      <c r="E108" t="s">
        <v>59</v>
      </c>
      <c r="F108" t="s">
        <v>61</v>
      </c>
      <c r="G108" t="s">
        <v>65</v>
      </c>
      <c r="H108">
        <v>0</v>
      </c>
      <c r="I108">
        <v>1</v>
      </c>
      <c r="J108">
        <v>4</v>
      </c>
      <c r="K108" t="s">
        <v>164</v>
      </c>
      <c r="L108">
        <v>29.93333333333333</v>
      </c>
      <c r="M108">
        <v>17</v>
      </c>
      <c r="N108">
        <v>3</v>
      </c>
      <c r="O108">
        <v>7</v>
      </c>
      <c r="P108">
        <v>42.9</v>
      </c>
      <c r="Q108">
        <v>3</v>
      </c>
      <c r="R108">
        <v>4</v>
      </c>
      <c r="S108">
        <v>75</v>
      </c>
      <c r="T108">
        <v>6</v>
      </c>
      <c r="U108">
        <v>11</v>
      </c>
      <c r="V108">
        <v>54.5</v>
      </c>
      <c r="W108">
        <v>2</v>
      </c>
      <c r="X108">
        <v>2</v>
      </c>
      <c r="Y108">
        <v>100</v>
      </c>
      <c r="Z108">
        <v>1</v>
      </c>
      <c r="AA108">
        <v>1</v>
      </c>
      <c r="AB108">
        <v>2</v>
      </c>
      <c r="AC108">
        <v>1</v>
      </c>
      <c r="AD108">
        <v>1</v>
      </c>
      <c r="AE108">
        <v>1</v>
      </c>
      <c r="AF108">
        <v>0</v>
      </c>
      <c r="AG108">
        <v>1</v>
      </c>
      <c r="AH108">
        <v>0</v>
      </c>
      <c r="AI108">
        <v>1</v>
      </c>
      <c r="AJ108">
        <v>2</v>
      </c>
      <c r="AK108">
        <v>16</v>
      </c>
      <c r="AL108">
        <v>-11</v>
      </c>
      <c r="AM108">
        <v>12.88</v>
      </c>
      <c r="AN108">
        <v>0.43028953229398659</v>
      </c>
      <c r="AO108">
        <v>71.55</v>
      </c>
      <c r="AP108">
        <v>7.76</v>
      </c>
      <c r="AQ108">
        <v>0.1818181818181818</v>
      </c>
      <c r="AR108">
        <v>58.92</v>
      </c>
      <c r="AS108">
        <v>33.67</v>
      </c>
      <c r="AT108">
        <v>7.41</v>
      </c>
    </row>
    <row r="109" spans="1:46" x14ac:dyDescent="0.25">
      <c r="A109" s="1">
        <v>107</v>
      </c>
      <c r="B109" t="s">
        <v>54</v>
      </c>
      <c r="C109">
        <v>1</v>
      </c>
      <c r="D109" t="s">
        <v>53</v>
      </c>
      <c r="E109" t="s">
        <v>59</v>
      </c>
      <c r="F109" t="s">
        <v>61</v>
      </c>
      <c r="G109" t="s">
        <v>65</v>
      </c>
      <c r="H109">
        <v>0</v>
      </c>
      <c r="I109">
        <v>0</v>
      </c>
      <c r="J109">
        <v>6</v>
      </c>
      <c r="K109" t="s">
        <v>165</v>
      </c>
      <c r="L109">
        <v>14.35</v>
      </c>
      <c r="M109">
        <v>5</v>
      </c>
      <c r="N109">
        <v>1</v>
      </c>
      <c r="O109">
        <v>2</v>
      </c>
      <c r="P109">
        <v>50</v>
      </c>
      <c r="Q109">
        <v>1</v>
      </c>
      <c r="R109">
        <v>3</v>
      </c>
      <c r="S109">
        <v>33.299999999999997</v>
      </c>
      <c r="T109">
        <v>2</v>
      </c>
      <c r="U109">
        <v>5</v>
      </c>
      <c r="V109">
        <v>40</v>
      </c>
      <c r="W109">
        <v>0</v>
      </c>
      <c r="X109">
        <v>0</v>
      </c>
      <c r="Y109">
        <v>0</v>
      </c>
      <c r="Z109">
        <v>0</v>
      </c>
      <c r="AA109">
        <v>4</v>
      </c>
      <c r="AB109">
        <v>4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2</v>
      </c>
      <c r="AJ109">
        <v>0</v>
      </c>
      <c r="AK109">
        <v>5</v>
      </c>
      <c r="AL109">
        <v>-15</v>
      </c>
      <c r="AM109">
        <v>5</v>
      </c>
      <c r="AN109">
        <v>0.34843205574912889</v>
      </c>
      <c r="AO109">
        <v>50</v>
      </c>
      <c r="AP109">
        <v>0</v>
      </c>
      <c r="AQ109">
        <v>0</v>
      </c>
      <c r="AR109">
        <v>40</v>
      </c>
      <c r="AS109">
        <v>60</v>
      </c>
      <c r="AT109">
        <v>0</v>
      </c>
    </row>
    <row r="110" spans="1:46" x14ac:dyDescent="0.25">
      <c r="A110" s="1">
        <v>108</v>
      </c>
      <c r="B110" t="s">
        <v>54</v>
      </c>
      <c r="C110">
        <v>1</v>
      </c>
      <c r="D110" t="s">
        <v>53</v>
      </c>
      <c r="E110" t="s">
        <v>59</v>
      </c>
      <c r="F110" t="s">
        <v>61</v>
      </c>
      <c r="G110" t="s">
        <v>65</v>
      </c>
      <c r="H110">
        <v>0</v>
      </c>
      <c r="I110">
        <v>1</v>
      </c>
      <c r="J110">
        <v>10</v>
      </c>
      <c r="K110" t="s">
        <v>166</v>
      </c>
      <c r="L110">
        <v>15.35</v>
      </c>
      <c r="M110">
        <v>5</v>
      </c>
      <c r="N110">
        <v>2</v>
      </c>
      <c r="O110">
        <v>4</v>
      </c>
      <c r="P110">
        <v>50</v>
      </c>
      <c r="Q110">
        <v>0</v>
      </c>
      <c r="R110">
        <v>0</v>
      </c>
      <c r="S110">
        <v>0</v>
      </c>
      <c r="T110">
        <v>2</v>
      </c>
      <c r="U110">
        <v>4</v>
      </c>
      <c r="V110">
        <v>50</v>
      </c>
      <c r="W110">
        <v>1</v>
      </c>
      <c r="X110">
        <v>4</v>
      </c>
      <c r="Y110">
        <v>25</v>
      </c>
      <c r="Z110">
        <v>1</v>
      </c>
      <c r="AA110">
        <v>2</v>
      </c>
      <c r="AB110">
        <v>3</v>
      </c>
      <c r="AC110">
        <v>2</v>
      </c>
      <c r="AD110">
        <v>0</v>
      </c>
      <c r="AE110">
        <v>2</v>
      </c>
      <c r="AF110">
        <v>3</v>
      </c>
      <c r="AG110">
        <v>0</v>
      </c>
      <c r="AH110">
        <v>0</v>
      </c>
      <c r="AI110">
        <v>2</v>
      </c>
      <c r="AJ110">
        <v>4</v>
      </c>
      <c r="AK110">
        <v>8</v>
      </c>
      <c r="AL110">
        <v>3</v>
      </c>
      <c r="AM110">
        <v>7.76</v>
      </c>
      <c r="AN110">
        <v>0.50553745928338767</v>
      </c>
      <c r="AO110">
        <v>43.4</v>
      </c>
      <c r="AP110">
        <v>25.77</v>
      </c>
      <c r="AQ110">
        <v>0.25</v>
      </c>
      <c r="AR110">
        <v>69.44</v>
      </c>
      <c r="AS110">
        <v>0</v>
      </c>
      <c r="AT110">
        <v>30.56</v>
      </c>
    </row>
    <row r="111" spans="1:46" x14ac:dyDescent="0.25">
      <c r="A111" s="1">
        <v>109</v>
      </c>
      <c r="B111" t="s">
        <v>54</v>
      </c>
      <c r="C111">
        <v>1</v>
      </c>
      <c r="D111" t="s">
        <v>53</v>
      </c>
      <c r="E111" t="s">
        <v>59</v>
      </c>
      <c r="F111" t="s">
        <v>61</v>
      </c>
      <c r="G111" t="s">
        <v>65</v>
      </c>
      <c r="H111">
        <v>0</v>
      </c>
      <c r="I111">
        <v>0</v>
      </c>
      <c r="J111">
        <v>13</v>
      </c>
      <c r="K111" t="s">
        <v>167</v>
      </c>
      <c r="L111">
        <v>17.083333333333329</v>
      </c>
      <c r="M111">
        <v>14</v>
      </c>
      <c r="N111">
        <v>7</v>
      </c>
      <c r="O111">
        <v>7</v>
      </c>
      <c r="P111">
        <v>100</v>
      </c>
      <c r="Q111">
        <v>0</v>
      </c>
      <c r="R111">
        <v>2</v>
      </c>
      <c r="S111">
        <v>0</v>
      </c>
      <c r="T111">
        <v>7</v>
      </c>
      <c r="U111">
        <v>9</v>
      </c>
      <c r="V111">
        <v>77.8</v>
      </c>
      <c r="W111">
        <v>0</v>
      </c>
      <c r="X111">
        <v>1</v>
      </c>
      <c r="Y111">
        <v>0</v>
      </c>
      <c r="Z111">
        <v>1</v>
      </c>
      <c r="AA111">
        <v>1</v>
      </c>
      <c r="AB111">
        <v>2</v>
      </c>
      <c r="AC111">
        <v>0</v>
      </c>
      <c r="AD111">
        <v>0</v>
      </c>
      <c r="AE111">
        <v>2</v>
      </c>
      <c r="AF111">
        <v>0</v>
      </c>
      <c r="AG111">
        <v>0</v>
      </c>
      <c r="AH111">
        <v>0</v>
      </c>
      <c r="AI111">
        <v>5</v>
      </c>
      <c r="AJ111">
        <v>1</v>
      </c>
      <c r="AK111">
        <v>7</v>
      </c>
      <c r="AL111">
        <v>-14</v>
      </c>
      <c r="AM111">
        <v>11.44</v>
      </c>
      <c r="AN111">
        <v>0.66965853658536589</v>
      </c>
      <c r="AO111">
        <v>74.150000000000006</v>
      </c>
      <c r="AP111">
        <v>17.48</v>
      </c>
      <c r="AQ111">
        <v>0</v>
      </c>
      <c r="AR111">
        <v>74.150000000000006</v>
      </c>
      <c r="AS111">
        <v>21.19</v>
      </c>
      <c r="AT111">
        <v>4.66</v>
      </c>
    </row>
    <row r="112" spans="1:46" x14ac:dyDescent="0.25">
      <c r="A112" s="1">
        <v>110</v>
      </c>
      <c r="B112" t="s">
        <v>54</v>
      </c>
      <c r="C112">
        <v>1</v>
      </c>
      <c r="D112" t="s">
        <v>53</v>
      </c>
      <c r="E112" t="s">
        <v>59</v>
      </c>
      <c r="F112" t="s">
        <v>61</v>
      </c>
      <c r="G112" t="s">
        <v>65</v>
      </c>
      <c r="H112">
        <v>0</v>
      </c>
      <c r="I112">
        <v>0</v>
      </c>
      <c r="J112">
        <v>15</v>
      </c>
      <c r="K112" t="s">
        <v>168</v>
      </c>
      <c r="L112">
        <v>19.7</v>
      </c>
      <c r="M112">
        <v>2</v>
      </c>
      <c r="N112">
        <v>1</v>
      </c>
      <c r="O112">
        <v>3</v>
      </c>
      <c r="P112">
        <v>33.299999999999997</v>
      </c>
      <c r="Q112">
        <v>0</v>
      </c>
      <c r="R112">
        <v>0</v>
      </c>
      <c r="S112">
        <v>0</v>
      </c>
      <c r="T112">
        <v>1</v>
      </c>
      <c r="U112">
        <v>3</v>
      </c>
      <c r="V112">
        <v>33.299999999999997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1</v>
      </c>
      <c r="AC112">
        <v>0</v>
      </c>
      <c r="AD112">
        <v>2</v>
      </c>
      <c r="AE112">
        <v>2</v>
      </c>
      <c r="AF112">
        <v>0</v>
      </c>
      <c r="AG112">
        <v>0</v>
      </c>
      <c r="AH112">
        <v>0</v>
      </c>
      <c r="AI112">
        <v>2</v>
      </c>
      <c r="AJ112">
        <v>1</v>
      </c>
      <c r="AK112">
        <v>0</v>
      </c>
      <c r="AL112">
        <v>-7</v>
      </c>
      <c r="AM112">
        <v>5</v>
      </c>
      <c r="AN112">
        <v>0.25380710659898481</v>
      </c>
      <c r="AO112">
        <v>33.33</v>
      </c>
      <c r="AP112">
        <v>40</v>
      </c>
      <c r="AQ112">
        <v>0</v>
      </c>
      <c r="AR112">
        <v>100</v>
      </c>
      <c r="AS112">
        <v>0</v>
      </c>
      <c r="AT112">
        <v>0</v>
      </c>
    </row>
    <row r="113" spans="1:46" x14ac:dyDescent="0.25">
      <c r="A113" s="1">
        <v>111</v>
      </c>
      <c r="B113" t="s">
        <v>54</v>
      </c>
      <c r="C113">
        <v>1</v>
      </c>
      <c r="D113" t="s">
        <v>53</v>
      </c>
      <c r="E113" t="s">
        <v>59</v>
      </c>
      <c r="F113" t="s">
        <v>61</v>
      </c>
      <c r="G113" t="s">
        <v>65</v>
      </c>
      <c r="H113">
        <v>0</v>
      </c>
      <c r="I113">
        <v>1</v>
      </c>
      <c r="J113">
        <v>19</v>
      </c>
      <c r="K113" t="s">
        <v>169</v>
      </c>
      <c r="L113">
        <v>21.916666666666671</v>
      </c>
      <c r="M113">
        <v>2</v>
      </c>
      <c r="N113">
        <v>1</v>
      </c>
      <c r="O113">
        <v>2</v>
      </c>
      <c r="P113">
        <v>50</v>
      </c>
      <c r="Q113">
        <v>0</v>
      </c>
      <c r="R113">
        <v>2</v>
      </c>
      <c r="S113">
        <v>0</v>
      </c>
      <c r="T113">
        <v>1</v>
      </c>
      <c r="U113">
        <v>4</v>
      </c>
      <c r="V113">
        <v>25</v>
      </c>
      <c r="W113">
        <v>0</v>
      </c>
      <c r="X113">
        <v>0</v>
      </c>
      <c r="Y113">
        <v>0</v>
      </c>
      <c r="Z113">
        <v>0</v>
      </c>
      <c r="AA113">
        <v>2</v>
      </c>
      <c r="AB113">
        <v>2</v>
      </c>
      <c r="AC113">
        <v>0</v>
      </c>
      <c r="AD113">
        <v>2</v>
      </c>
      <c r="AE113">
        <v>1</v>
      </c>
      <c r="AF113">
        <v>0</v>
      </c>
      <c r="AG113">
        <v>0</v>
      </c>
      <c r="AH113">
        <v>0</v>
      </c>
      <c r="AI113">
        <v>4</v>
      </c>
      <c r="AJ113">
        <v>1</v>
      </c>
      <c r="AK113">
        <v>-1</v>
      </c>
      <c r="AL113">
        <v>-14</v>
      </c>
      <c r="AM113">
        <v>5</v>
      </c>
      <c r="AN113">
        <v>0.22813688212927749</v>
      </c>
      <c r="AO113">
        <v>25</v>
      </c>
      <c r="AP113">
        <v>20</v>
      </c>
      <c r="AQ113">
        <v>0</v>
      </c>
      <c r="AR113">
        <v>50</v>
      </c>
      <c r="AS113">
        <v>50</v>
      </c>
      <c r="AT113">
        <v>0</v>
      </c>
    </row>
    <row r="114" spans="1:46" x14ac:dyDescent="0.25">
      <c r="A114" s="1">
        <v>112</v>
      </c>
      <c r="B114" t="s">
        <v>54</v>
      </c>
      <c r="C114">
        <v>1</v>
      </c>
      <c r="D114" t="s">
        <v>53</v>
      </c>
      <c r="E114" t="s">
        <v>59</v>
      </c>
      <c r="F114" t="s">
        <v>61</v>
      </c>
      <c r="G114" t="s">
        <v>65</v>
      </c>
      <c r="H114">
        <v>0</v>
      </c>
      <c r="I114">
        <v>0</v>
      </c>
      <c r="J114">
        <v>96</v>
      </c>
      <c r="K114" t="s">
        <v>170</v>
      </c>
      <c r="L114">
        <v>16.93333333333333</v>
      </c>
      <c r="M114">
        <v>3</v>
      </c>
      <c r="N114">
        <v>1</v>
      </c>
      <c r="O114">
        <v>2</v>
      </c>
      <c r="P114">
        <v>50</v>
      </c>
      <c r="Q114">
        <v>0</v>
      </c>
      <c r="R114">
        <v>1</v>
      </c>
      <c r="S114">
        <v>0</v>
      </c>
      <c r="T114">
        <v>1</v>
      </c>
      <c r="U114">
        <v>3</v>
      </c>
      <c r="V114">
        <v>33.299999999999997</v>
      </c>
      <c r="W114">
        <v>1</v>
      </c>
      <c r="X114">
        <v>3</v>
      </c>
      <c r="Y114">
        <v>33.299999999999997</v>
      </c>
      <c r="Z114">
        <v>0</v>
      </c>
      <c r="AA114">
        <v>1</v>
      </c>
      <c r="AB114">
        <v>1</v>
      </c>
      <c r="AC114">
        <v>3</v>
      </c>
      <c r="AD114">
        <v>0</v>
      </c>
      <c r="AE114">
        <v>2</v>
      </c>
      <c r="AF114">
        <v>0</v>
      </c>
      <c r="AG114">
        <v>0</v>
      </c>
      <c r="AH114">
        <v>0</v>
      </c>
      <c r="AI114">
        <v>2</v>
      </c>
      <c r="AJ114">
        <v>3</v>
      </c>
      <c r="AK114">
        <v>2</v>
      </c>
      <c r="AL114">
        <v>-3</v>
      </c>
      <c r="AM114">
        <v>6.32</v>
      </c>
      <c r="AN114">
        <v>0.37322834645669289</v>
      </c>
      <c r="AO114">
        <v>34.72</v>
      </c>
      <c r="AP114">
        <v>31.65</v>
      </c>
      <c r="AQ114">
        <v>0.33333333333333331</v>
      </c>
      <c r="AR114">
        <v>46.3</v>
      </c>
      <c r="AS114">
        <v>23.15</v>
      </c>
      <c r="AT114">
        <v>30.56</v>
      </c>
    </row>
    <row r="115" spans="1:46" x14ac:dyDescent="0.25">
      <c r="A115" s="1">
        <v>113</v>
      </c>
      <c r="B115" t="s">
        <v>54</v>
      </c>
      <c r="C115">
        <v>1</v>
      </c>
      <c r="D115" t="s">
        <v>53</v>
      </c>
      <c r="E115" t="s">
        <v>59</v>
      </c>
      <c r="F115" t="s">
        <v>61</v>
      </c>
      <c r="G115" t="s">
        <v>65</v>
      </c>
      <c r="H115">
        <v>0</v>
      </c>
      <c r="I115">
        <v>0</v>
      </c>
      <c r="J115">
        <v>98</v>
      </c>
      <c r="K115" t="s">
        <v>171</v>
      </c>
      <c r="L115">
        <v>19.850000000000001</v>
      </c>
      <c r="M115">
        <v>0</v>
      </c>
      <c r="N115">
        <v>0</v>
      </c>
      <c r="O115">
        <v>4</v>
      </c>
      <c r="P115">
        <v>0</v>
      </c>
      <c r="Q115">
        <v>0</v>
      </c>
      <c r="R115">
        <v>3</v>
      </c>
      <c r="S115">
        <v>0</v>
      </c>
      <c r="T115">
        <v>0</v>
      </c>
      <c r="U115">
        <v>7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1</v>
      </c>
      <c r="AB115">
        <v>2</v>
      </c>
      <c r="AC115">
        <v>3</v>
      </c>
      <c r="AD115">
        <v>2</v>
      </c>
      <c r="AE115">
        <v>0</v>
      </c>
      <c r="AF115">
        <v>0</v>
      </c>
      <c r="AG115">
        <v>1</v>
      </c>
      <c r="AH115">
        <v>0</v>
      </c>
      <c r="AI115">
        <v>0</v>
      </c>
      <c r="AJ115">
        <v>1</v>
      </c>
      <c r="AK115">
        <v>1</v>
      </c>
      <c r="AL115">
        <v>0</v>
      </c>
      <c r="AM115">
        <v>7</v>
      </c>
      <c r="AN115">
        <v>0.3526448362720403</v>
      </c>
      <c r="AO115">
        <v>0</v>
      </c>
      <c r="AP115">
        <v>0</v>
      </c>
      <c r="AQ115">
        <v>0</v>
      </c>
      <c r="AR115">
        <v>57.14</v>
      </c>
      <c r="AS115">
        <v>42.86</v>
      </c>
      <c r="AT115">
        <v>0</v>
      </c>
    </row>
    <row r="116" spans="1:46" x14ac:dyDescent="0.25">
      <c r="A116" s="1">
        <v>114</v>
      </c>
      <c r="B116" t="s">
        <v>54</v>
      </c>
      <c r="C116">
        <v>1</v>
      </c>
      <c r="D116" t="s">
        <v>53</v>
      </c>
      <c r="E116" t="s">
        <v>59</v>
      </c>
      <c r="F116" t="s">
        <v>61</v>
      </c>
      <c r="G116" t="s">
        <v>65</v>
      </c>
      <c r="H116">
        <v>0</v>
      </c>
      <c r="I116">
        <v>1</v>
      </c>
      <c r="J116">
        <v>99</v>
      </c>
      <c r="K116" t="s">
        <v>172</v>
      </c>
      <c r="L116">
        <v>14.96666666666667</v>
      </c>
      <c r="M116">
        <v>4</v>
      </c>
      <c r="N116">
        <v>2</v>
      </c>
      <c r="O116">
        <v>5</v>
      </c>
      <c r="P116">
        <v>40</v>
      </c>
      <c r="Q116">
        <v>0</v>
      </c>
      <c r="R116">
        <v>1</v>
      </c>
      <c r="S116">
        <v>0</v>
      </c>
      <c r="T116">
        <v>2</v>
      </c>
      <c r="U116">
        <v>6</v>
      </c>
      <c r="V116">
        <v>33.299999999999997</v>
      </c>
      <c r="W116">
        <v>0</v>
      </c>
      <c r="X116">
        <v>0</v>
      </c>
      <c r="Y116">
        <v>0</v>
      </c>
      <c r="Z116">
        <v>0</v>
      </c>
      <c r="AA116">
        <v>2</v>
      </c>
      <c r="AB116">
        <v>2</v>
      </c>
      <c r="AC116">
        <v>4</v>
      </c>
      <c r="AD116">
        <v>0</v>
      </c>
      <c r="AE116">
        <v>2</v>
      </c>
      <c r="AF116">
        <v>0</v>
      </c>
      <c r="AG116">
        <v>0</v>
      </c>
      <c r="AH116">
        <v>0</v>
      </c>
      <c r="AI116">
        <v>4</v>
      </c>
      <c r="AJ116">
        <v>1</v>
      </c>
      <c r="AK116">
        <v>1</v>
      </c>
      <c r="AL116">
        <v>-8</v>
      </c>
      <c r="AM116">
        <v>8</v>
      </c>
      <c r="AN116">
        <v>0.53452115812917589</v>
      </c>
      <c r="AO116">
        <v>33.33</v>
      </c>
      <c r="AP116">
        <v>25</v>
      </c>
      <c r="AQ116">
        <v>0</v>
      </c>
      <c r="AR116">
        <v>83.33</v>
      </c>
      <c r="AS116">
        <v>16.670000000000002</v>
      </c>
      <c r="AT116">
        <v>0</v>
      </c>
    </row>
    <row r="117" spans="1:46" x14ac:dyDescent="0.25">
      <c r="A117" s="1">
        <v>115</v>
      </c>
      <c r="B117" t="s">
        <v>54</v>
      </c>
      <c r="C117">
        <v>1</v>
      </c>
      <c r="D117" t="s">
        <v>53</v>
      </c>
      <c r="E117" t="s">
        <v>59</v>
      </c>
      <c r="F117" t="s">
        <v>61</v>
      </c>
      <c r="G117" t="s">
        <v>65</v>
      </c>
      <c r="H117">
        <v>0</v>
      </c>
      <c r="I117">
        <v>0</v>
      </c>
      <c r="K117" t="s">
        <v>77</v>
      </c>
      <c r="L117">
        <v>200</v>
      </c>
      <c r="M117">
        <v>66</v>
      </c>
      <c r="N117">
        <v>18</v>
      </c>
      <c r="O117">
        <v>38</v>
      </c>
      <c r="P117">
        <v>47.4</v>
      </c>
      <c r="Q117">
        <v>7</v>
      </c>
      <c r="R117">
        <v>24</v>
      </c>
      <c r="S117">
        <v>29.2</v>
      </c>
      <c r="T117">
        <v>25</v>
      </c>
      <c r="U117">
        <v>62</v>
      </c>
      <c r="V117">
        <v>40.299999999999997</v>
      </c>
      <c r="W117">
        <v>9</v>
      </c>
      <c r="X117">
        <v>16</v>
      </c>
      <c r="Y117">
        <v>56.2</v>
      </c>
      <c r="Z117">
        <v>5</v>
      </c>
      <c r="AA117">
        <v>20</v>
      </c>
      <c r="AB117">
        <v>25</v>
      </c>
      <c r="AC117">
        <v>16</v>
      </c>
      <c r="AD117">
        <v>10</v>
      </c>
      <c r="AE117">
        <v>12</v>
      </c>
      <c r="AF117">
        <v>3</v>
      </c>
      <c r="AG117">
        <v>2</v>
      </c>
      <c r="AH117">
        <v>0</v>
      </c>
      <c r="AI117">
        <v>25</v>
      </c>
      <c r="AJ117">
        <v>19</v>
      </c>
      <c r="AK117">
        <v>58</v>
      </c>
      <c r="AM117">
        <v>81.040000000000006</v>
      </c>
      <c r="AN117">
        <v>0.4052</v>
      </c>
      <c r="AO117">
        <v>47.8</v>
      </c>
      <c r="AP117">
        <v>14.81</v>
      </c>
      <c r="AQ117">
        <v>0.14516129032258071</v>
      </c>
      <c r="AR117">
        <v>55.04</v>
      </c>
      <c r="AS117">
        <v>34.76</v>
      </c>
      <c r="AT117">
        <v>10.199999999999999</v>
      </c>
    </row>
    <row r="118" spans="1:46" x14ac:dyDescent="0.25">
      <c r="A118" s="1">
        <v>116</v>
      </c>
      <c r="B118" t="s">
        <v>55</v>
      </c>
      <c r="C118">
        <v>1</v>
      </c>
      <c r="D118" t="s">
        <v>56</v>
      </c>
      <c r="E118" t="s">
        <v>59</v>
      </c>
      <c r="F118" t="s">
        <v>62</v>
      </c>
      <c r="G118" t="s">
        <v>64</v>
      </c>
      <c r="H118">
        <v>0</v>
      </c>
      <c r="I118">
        <v>0</v>
      </c>
      <c r="J118">
        <v>5</v>
      </c>
      <c r="K118" t="s">
        <v>173</v>
      </c>
      <c r="L118">
        <v>3.65</v>
      </c>
      <c r="M118">
        <v>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</v>
      </c>
      <c r="X118">
        <v>2</v>
      </c>
      <c r="Y118">
        <v>100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1</v>
      </c>
      <c r="AJ118">
        <v>1</v>
      </c>
      <c r="AK118">
        <v>1</v>
      </c>
      <c r="AL118">
        <v>-2</v>
      </c>
      <c r="AM118">
        <v>1.88</v>
      </c>
      <c r="AN118">
        <v>0.51506849315068493</v>
      </c>
      <c r="AO118">
        <v>113.64</v>
      </c>
      <c r="AP118">
        <v>53.19</v>
      </c>
      <c r="AQ118" t="s">
        <v>208</v>
      </c>
      <c r="AR118">
        <v>0</v>
      </c>
      <c r="AS118">
        <v>0</v>
      </c>
      <c r="AT118">
        <v>100</v>
      </c>
    </row>
    <row r="119" spans="1:46" x14ac:dyDescent="0.25">
      <c r="A119" s="1">
        <v>117</v>
      </c>
      <c r="B119" t="s">
        <v>55</v>
      </c>
      <c r="C119">
        <v>1</v>
      </c>
      <c r="D119" t="s">
        <v>56</v>
      </c>
      <c r="E119" t="s">
        <v>59</v>
      </c>
      <c r="F119" t="s">
        <v>62</v>
      </c>
      <c r="G119" t="s">
        <v>64</v>
      </c>
      <c r="H119">
        <v>0</v>
      </c>
      <c r="I119">
        <v>1</v>
      </c>
      <c r="J119">
        <v>6</v>
      </c>
      <c r="K119" t="s">
        <v>174</v>
      </c>
      <c r="L119">
        <v>32.016666666666673</v>
      </c>
      <c r="M119">
        <v>15</v>
      </c>
      <c r="N119">
        <v>4</v>
      </c>
      <c r="O119">
        <v>7</v>
      </c>
      <c r="P119">
        <v>57.1</v>
      </c>
      <c r="Q119">
        <v>0</v>
      </c>
      <c r="R119">
        <v>0</v>
      </c>
      <c r="S119">
        <v>0</v>
      </c>
      <c r="T119">
        <v>4</v>
      </c>
      <c r="U119">
        <v>7</v>
      </c>
      <c r="V119">
        <v>57.1</v>
      </c>
      <c r="W119">
        <v>7</v>
      </c>
      <c r="X119">
        <v>11</v>
      </c>
      <c r="Y119">
        <v>63.6</v>
      </c>
      <c r="Z119">
        <v>3</v>
      </c>
      <c r="AA119">
        <v>4</v>
      </c>
      <c r="AB119">
        <v>7</v>
      </c>
      <c r="AC119">
        <v>2</v>
      </c>
      <c r="AD119">
        <v>2</v>
      </c>
      <c r="AE119">
        <v>5</v>
      </c>
      <c r="AF119">
        <v>0</v>
      </c>
      <c r="AG119">
        <v>0</v>
      </c>
      <c r="AH119">
        <v>0</v>
      </c>
      <c r="AI119">
        <v>2</v>
      </c>
      <c r="AJ119">
        <v>9</v>
      </c>
      <c r="AK119">
        <v>21</v>
      </c>
      <c r="AL119">
        <v>-1</v>
      </c>
      <c r="AM119">
        <v>16.84</v>
      </c>
      <c r="AN119">
        <v>0.5259760541384696</v>
      </c>
      <c r="AO119">
        <v>63.34</v>
      </c>
      <c r="AP119">
        <v>29.69</v>
      </c>
      <c r="AQ119">
        <v>1</v>
      </c>
      <c r="AR119">
        <v>59.12</v>
      </c>
      <c r="AS119">
        <v>0</v>
      </c>
      <c r="AT119">
        <v>40.880000000000003</v>
      </c>
    </row>
    <row r="120" spans="1:46" x14ac:dyDescent="0.25">
      <c r="A120" s="1">
        <v>118</v>
      </c>
      <c r="B120" t="s">
        <v>55</v>
      </c>
      <c r="C120">
        <v>1</v>
      </c>
      <c r="D120" t="s">
        <v>56</v>
      </c>
      <c r="E120" t="s">
        <v>59</v>
      </c>
      <c r="F120" t="s">
        <v>62</v>
      </c>
      <c r="G120" t="s">
        <v>64</v>
      </c>
      <c r="H120">
        <v>0</v>
      </c>
      <c r="I120">
        <v>0</v>
      </c>
      <c r="J120">
        <v>9</v>
      </c>
      <c r="K120" t="s">
        <v>175</v>
      </c>
      <c r="L120">
        <v>14.6</v>
      </c>
      <c r="M120">
        <v>0</v>
      </c>
      <c r="N120">
        <v>0</v>
      </c>
      <c r="O120">
        <v>3</v>
      </c>
      <c r="P120">
        <v>0</v>
      </c>
      <c r="Q120">
        <v>0</v>
      </c>
      <c r="R120">
        <v>2</v>
      </c>
      <c r="S120">
        <v>0</v>
      </c>
      <c r="T120">
        <v>0</v>
      </c>
      <c r="U120">
        <v>5</v>
      </c>
      <c r="V120">
        <v>0</v>
      </c>
      <c r="W120">
        <v>0</v>
      </c>
      <c r="X120">
        <v>2</v>
      </c>
      <c r="Y120">
        <v>0</v>
      </c>
      <c r="Z120">
        <v>3</v>
      </c>
      <c r="AA120">
        <v>2</v>
      </c>
      <c r="AB120">
        <v>5</v>
      </c>
      <c r="AC120">
        <v>2</v>
      </c>
      <c r="AD120">
        <v>2</v>
      </c>
      <c r="AE120">
        <v>2</v>
      </c>
      <c r="AF120">
        <v>0</v>
      </c>
      <c r="AG120">
        <v>0</v>
      </c>
      <c r="AH120">
        <v>0</v>
      </c>
      <c r="AI120">
        <v>2</v>
      </c>
      <c r="AJ120">
        <v>2</v>
      </c>
      <c r="AK120">
        <v>0</v>
      </c>
      <c r="AL120">
        <v>-14</v>
      </c>
      <c r="AM120">
        <v>7.88</v>
      </c>
      <c r="AN120">
        <v>0.53972602739726028</v>
      </c>
      <c r="AO120">
        <v>0</v>
      </c>
      <c r="AP120">
        <v>25.38</v>
      </c>
      <c r="AQ120">
        <v>0</v>
      </c>
      <c r="AR120">
        <v>51.02</v>
      </c>
      <c r="AS120">
        <v>34.01</v>
      </c>
      <c r="AT120">
        <v>14.97</v>
      </c>
    </row>
    <row r="121" spans="1:46" x14ac:dyDescent="0.25">
      <c r="A121" s="1">
        <v>119</v>
      </c>
      <c r="B121" t="s">
        <v>55</v>
      </c>
      <c r="C121">
        <v>1</v>
      </c>
      <c r="D121" t="s">
        <v>56</v>
      </c>
      <c r="E121" t="s">
        <v>59</v>
      </c>
      <c r="F121" t="s">
        <v>62</v>
      </c>
      <c r="G121" t="s">
        <v>64</v>
      </c>
      <c r="H121">
        <v>0</v>
      </c>
      <c r="I121">
        <v>1</v>
      </c>
      <c r="J121">
        <v>11</v>
      </c>
      <c r="K121" t="s">
        <v>176</v>
      </c>
      <c r="L121">
        <v>37.366666666666667</v>
      </c>
      <c r="M121">
        <v>4</v>
      </c>
      <c r="N121">
        <v>2</v>
      </c>
      <c r="O121">
        <v>2</v>
      </c>
      <c r="P121">
        <v>100</v>
      </c>
      <c r="Q121">
        <v>0</v>
      </c>
      <c r="R121">
        <v>1</v>
      </c>
      <c r="S121">
        <v>0</v>
      </c>
      <c r="T121">
        <v>2</v>
      </c>
      <c r="U121">
        <v>3</v>
      </c>
      <c r="V121">
        <v>66.7</v>
      </c>
      <c r="W121">
        <v>0</v>
      </c>
      <c r="X121">
        <v>0</v>
      </c>
      <c r="Y121">
        <v>0</v>
      </c>
      <c r="Z121">
        <v>0</v>
      </c>
      <c r="AA121">
        <v>2</v>
      </c>
      <c r="AB121">
        <v>2</v>
      </c>
      <c r="AC121">
        <v>6</v>
      </c>
      <c r="AD121">
        <v>2</v>
      </c>
      <c r="AE121">
        <v>2</v>
      </c>
      <c r="AF121">
        <v>0</v>
      </c>
      <c r="AG121">
        <v>0</v>
      </c>
      <c r="AH121">
        <v>0</v>
      </c>
      <c r="AI121">
        <v>4</v>
      </c>
      <c r="AJ121">
        <v>1</v>
      </c>
      <c r="AK121">
        <v>8</v>
      </c>
      <c r="AL121">
        <v>-3</v>
      </c>
      <c r="AM121">
        <v>5</v>
      </c>
      <c r="AN121">
        <v>0.13380909901873331</v>
      </c>
      <c r="AO121">
        <v>66.67</v>
      </c>
      <c r="AP121">
        <v>40</v>
      </c>
      <c r="AQ121">
        <v>0</v>
      </c>
      <c r="AR121">
        <v>66.67</v>
      </c>
      <c r="AS121">
        <v>33.33</v>
      </c>
      <c r="AT121">
        <v>0</v>
      </c>
    </row>
    <row r="122" spans="1:46" x14ac:dyDescent="0.25">
      <c r="A122" s="1">
        <v>120</v>
      </c>
      <c r="B122" t="s">
        <v>55</v>
      </c>
      <c r="C122">
        <v>1</v>
      </c>
      <c r="D122" t="s">
        <v>56</v>
      </c>
      <c r="E122" t="s">
        <v>59</v>
      </c>
      <c r="F122" t="s">
        <v>62</v>
      </c>
      <c r="G122" t="s">
        <v>64</v>
      </c>
      <c r="H122">
        <v>0</v>
      </c>
      <c r="I122">
        <v>0</v>
      </c>
      <c r="J122">
        <v>12</v>
      </c>
      <c r="K122" t="s">
        <v>177</v>
      </c>
      <c r="L122">
        <v>20.75</v>
      </c>
      <c r="M122">
        <v>9</v>
      </c>
      <c r="N122">
        <v>3</v>
      </c>
      <c r="O122">
        <v>9</v>
      </c>
      <c r="P122">
        <v>33.299999999999997</v>
      </c>
      <c r="Q122">
        <v>0</v>
      </c>
      <c r="R122">
        <v>1</v>
      </c>
      <c r="S122">
        <v>0</v>
      </c>
      <c r="T122">
        <v>3</v>
      </c>
      <c r="U122">
        <v>10</v>
      </c>
      <c r="V122">
        <v>30</v>
      </c>
      <c r="W122">
        <v>3</v>
      </c>
      <c r="X122">
        <v>4</v>
      </c>
      <c r="Y122">
        <v>75</v>
      </c>
      <c r="Z122">
        <v>4</v>
      </c>
      <c r="AA122">
        <v>3</v>
      </c>
      <c r="AB122">
        <v>7</v>
      </c>
      <c r="AC122">
        <v>3</v>
      </c>
      <c r="AD122">
        <v>1</v>
      </c>
      <c r="AE122">
        <v>4</v>
      </c>
      <c r="AF122">
        <v>0</v>
      </c>
      <c r="AG122">
        <v>0</v>
      </c>
      <c r="AH122">
        <v>0</v>
      </c>
      <c r="AI122">
        <v>5</v>
      </c>
      <c r="AJ122">
        <v>2</v>
      </c>
      <c r="AK122">
        <v>5</v>
      </c>
      <c r="AL122">
        <v>4</v>
      </c>
      <c r="AM122">
        <v>15.76</v>
      </c>
      <c r="AN122">
        <v>0.75951807228915658</v>
      </c>
      <c r="AO122">
        <v>38.270000000000003</v>
      </c>
      <c r="AP122">
        <v>25.38</v>
      </c>
      <c r="AQ122">
        <v>0.3</v>
      </c>
      <c r="AR122">
        <v>76.53</v>
      </c>
      <c r="AS122">
        <v>8.5</v>
      </c>
      <c r="AT122">
        <v>14.97</v>
      </c>
    </row>
    <row r="123" spans="1:46" x14ac:dyDescent="0.25">
      <c r="A123" s="1">
        <v>121</v>
      </c>
      <c r="B123" t="s">
        <v>55</v>
      </c>
      <c r="C123">
        <v>1</v>
      </c>
      <c r="D123" t="s">
        <v>56</v>
      </c>
      <c r="E123" t="s">
        <v>59</v>
      </c>
      <c r="F123" t="s">
        <v>62</v>
      </c>
      <c r="G123" t="s">
        <v>64</v>
      </c>
      <c r="H123">
        <v>0</v>
      </c>
      <c r="I123">
        <v>1</v>
      </c>
      <c r="J123">
        <v>15</v>
      </c>
      <c r="K123" t="s">
        <v>178</v>
      </c>
      <c r="L123">
        <v>30.716666666666669</v>
      </c>
      <c r="M123">
        <v>11</v>
      </c>
      <c r="N123">
        <v>2</v>
      </c>
      <c r="O123">
        <v>3</v>
      </c>
      <c r="P123">
        <v>66.7</v>
      </c>
      <c r="Q123">
        <v>1</v>
      </c>
      <c r="R123">
        <v>2</v>
      </c>
      <c r="S123">
        <v>50</v>
      </c>
      <c r="T123">
        <v>3</v>
      </c>
      <c r="U123">
        <v>5</v>
      </c>
      <c r="V123">
        <v>60</v>
      </c>
      <c r="W123">
        <v>4</v>
      </c>
      <c r="X123">
        <v>5</v>
      </c>
      <c r="Y123">
        <v>80</v>
      </c>
      <c r="Z123">
        <v>1</v>
      </c>
      <c r="AA123">
        <v>6</v>
      </c>
      <c r="AB123">
        <v>7</v>
      </c>
      <c r="AC123">
        <v>1</v>
      </c>
      <c r="AD123">
        <v>1</v>
      </c>
      <c r="AE123">
        <v>2</v>
      </c>
      <c r="AF123">
        <v>0</v>
      </c>
      <c r="AG123">
        <v>0</v>
      </c>
      <c r="AH123">
        <v>0</v>
      </c>
      <c r="AI123">
        <v>3</v>
      </c>
      <c r="AJ123">
        <v>3</v>
      </c>
      <c r="AK123">
        <v>15</v>
      </c>
      <c r="AL123">
        <v>6</v>
      </c>
      <c r="AM123">
        <v>9.1999999999999993</v>
      </c>
      <c r="AN123">
        <v>0.299511665762344</v>
      </c>
      <c r="AO123">
        <v>76.39</v>
      </c>
      <c r="AP123">
        <v>21.74</v>
      </c>
      <c r="AQ123">
        <v>0.8</v>
      </c>
      <c r="AR123">
        <v>41.67</v>
      </c>
      <c r="AS123">
        <v>27.78</v>
      </c>
      <c r="AT123">
        <v>30.56</v>
      </c>
    </row>
    <row r="124" spans="1:46" x14ac:dyDescent="0.25">
      <c r="A124" s="1">
        <v>122</v>
      </c>
      <c r="B124" t="s">
        <v>55</v>
      </c>
      <c r="C124">
        <v>1</v>
      </c>
      <c r="D124" t="s">
        <v>56</v>
      </c>
      <c r="E124" t="s">
        <v>59</v>
      </c>
      <c r="F124" t="s">
        <v>62</v>
      </c>
      <c r="G124" t="s">
        <v>64</v>
      </c>
      <c r="H124">
        <v>0</v>
      </c>
      <c r="I124">
        <v>1</v>
      </c>
      <c r="J124">
        <v>23</v>
      </c>
      <c r="K124" t="s">
        <v>179</v>
      </c>
      <c r="L124">
        <v>31.8</v>
      </c>
      <c r="M124">
        <v>14</v>
      </c>
      <c r="N124">
        <v>2</v>
      </c>
      <c r="O124">
        <v>2</v>
      </c>
      <c r="P124">
        <v>100</v>
      </c>
      <c r="Q124">
        <v>3</v>
      </c>
      <c r="R124">
        <v>10</v>
      </c>
      <c r="S124">
        <v>30</v>
      </c>
      <c r="T124">
        <v>5</v>
      </c>
      <c r="U124">
        <v>12</v>
      </c>
      <c r="V124">
        <v>41.7</v>
      </c>
      <c r="W124">
        <v>1</v>
      </c>
      <c r="X124">
        <v>2</v>
      </c>
      <c r="Y124">
        <v>50</v>
      </c>
      <c r="Z124">
        <v>0</v>
      </c>
      <c r="AA124">
        <v>1</v>
      </c>
      <c r="AB124">
        <v>1</v>
      </c>
      <c r="AC124">
        <v>5</v>
      </c>
      <c r="AD124">
        <v>4</v>
      </c>
      <c r="AE124">
        <v>1</v>
      </c>
      <c r="AF124">
        <v>1</v>
      </c>
      <c r="AG124">
        <v>0</v>
      </c>
      <c r="AH124">
        <v>0</v>
      </c>
      <c r="AI124">
        <v>2</v>
      </c>
      <c r="AJ124">
        <v>2</v>
      </c>
      <c r="AK124">
        <v>16</v>
      </c>
      <c r="AL124">
        <v>-3</v>
      </c>
      <c r="AM124">
        <v>13.88</v>
      </c>
      <c r="AN124">
        <v>0.43647798742138372</v>
      </c>
      <c r="AO124">
        <v>54.35</v>
      </c>
      <c r="AP124">
        <v>7.2</v>
      </c>
      <c r="AQ124">
        <v>8.3333333333333329E-2</v>
      </c>
      <c r="AR124">
        <v>15.53</v>
      </c>
      <c r="AS124">
        <v>77.64</v>
      </c>
      <c r="AT124">
        <v>6.83</v>
      </c>
    </row>
    <row r="125" spans="1:46" x14ac:dyDescent="0.25">
      <c r="A125" s="1">
        <v>123</v>
      </c>
      <c r="B125" t="s">
        <v>55</v>
      </c>
      <c r="C125">
        <v>1</v>
      </c>
      <c r="D125" t="s">
        <v>56</v>
      </c>
      <c r="E125" t="s">
        <v>59</v>
      </c>
      <c r="F125" t="s">
        <v>62</v>
      </c>
      <c r="G125" t="s">
        <v>64</v>
      </c>
      <c r="H125">
        <v>0</v>
      </c>
      <c r="I125">
        <v>1</v>
      </c>
      <c r="J125">
        <v>24</v>
      </c>
      <c r="K125" t="s">
        <v>180</v>
      </c>
      <c r="L125">
        <v>29.1</v>
      </c>
      <c r="M125">
        <v>20</v>
      </c>
      <c r="N125">
        <v>10</v>
      </c>
      <c r="O125">
        <v>12</v>
      </c>
      <c r="P125">
        <v>83.3</v>
      </c>
      <c r="Q125">
        <v>0</v>
      </c>
      <c r="R125">
        <v>3</v>
      </c>
      <c r="S125">
        <v>0</v>
      </c>
      <c r="T125">
        <v>10</v>
      </c>
      <c r="U125">
        <v>15</v>
      </c>
      <c r="V125">
        <v>66.7</v>
      </c>
      <c r="W125">
        <v>0</v>
      </c>
      <c r="X125">
        <v>3</v>
      </c>
      <c r="Y125">
        <v>0</v>
      </c>
      <c r="Z125">
        <v>2</v>
      </c>
      <c r="AA125">
        <v>5</v>
      </c>
      <c r="AB125">
        <v>7</v>
      </c>
      <c r="AC125">
        <v>2</v>
      </c>
      <c r="AD125">
        <v>5</v>
      </c>
      <c r="AE125">
        <v>7</v>
      </c>
      <c r="AF125">
        <v>0</v>
      </c>
      <c r="AG125">
        <v>1</v>
      </c>
      <c r="AH125">
        <v>0</v>
      </c>
      <c r="AI125">
        <v>4</v>
      </c>
      <c r="AJ125">
        <v>4</v>
      </c>
      <c r="AK125">
        <v>19</v>
      </c>
      <c r="AL125">
        <v>-7</v>
      </c>
      <c r="AM125">
        <v>23.32</v>
      </c>
      <c r="AN125">
        <v>0.80137457044673532</v>
      </c>
      <c r="AO125">
        <v>61.27</v>
      </c>
      <c r="AP125">
        <v>30.02</v>
      </c>
      <c r="AQ125">
        <v>0</v>
      </c>
      <c r="AR125">
        <v>73.53</v>
      </c>
      <c r="AS125">
        <v>18.38</v>
      </c>
      <c r="AT125">
        <v>8.09</v>
      </c>
    </row>
    <row r="126" spans="1:46" x14ac:dyDescent="0.25">
      <c r="A126" s="1">
        <v>124</v>
      </c>
      <c r="B126" t="s">
        <v>55</v>
      </c>
      <c r="C126">
        <v>1</v>
      </c>
      <c r="D126" t="s">
        <v>56</v>
      </c>
      <c r="E126" t="s">
        <v>59</v>
      </c>
      <c r="F126" t="s">
        <v>62</v>
      </c>
      <c r="G126" t="s">
        <v>64</v>
      </c>
      <c r="H126">
        <v>0</v>
      </c>
      <c r="I126">
        <v>0</v>
      </c>
      <c r="K126" t="s">
        <v>77</v>
      </c>
      <c r="L126">
        <v>200</v>
      </c>
      <c r="M126">
        <v>75</v>
      </c>
      <c r="N126">
        <v>23</v>
      </c>
      <c r="O126">
        <v>38</v>
      </c>
      <c r="P126">
        <v>60.5</v>
      </c>
      <c r="Q126">
        <v>4</v>
      </c>
      <c r="R126">
        <v>19</v>
      </c>
      <c r="S126">
        <v>21.1</v>
      </c>
      <c r="T126">
        <v>27</v>
      </c>
      <c r="U126">
        <v>57</v>
      </c>
      <c r="V126">
        <v>47.4</v>
      </c>
      <c r="W126">
        <v>17</v>
      </c>
      <c r="X126">
        <v>29</v>
      </c>
      <c r="Y126">
        <v>58.6</v>
      </c>
      <c r="Z126">
        <v>13</v>
      </c>
      <c r="AA126">
        <v>23</v>
      </c>
      <c r="AB126">
        <v>36</v>
      </c>
      <c r="AC126">
        <v>21</v>
      </c>
      <c r="AD126">
        <v>17</v>
      </c>
      <c r="AE126">
        <v>24</v>
      </c>
      <c r="AF126">
        <v>1</v>
      </c>
      <c r="AG126">
        <v>1</v>
      </c>
      <c r="AH126">
        <v>0</v>
      </c>
      <c r="AI126">
        <v>23</v>
      </c>
      <c r="AJ126">
        <v>24</v>
      </c>
      <c r="AK126">
        <v>85</v>
      </c>
      <c r="AM126">
        <v>93.76</v>
      </c>
      <c r="AN126">
        <v>0.46880000000000011</v>
      </c>
      <c r="AO126">
        <v>53.76</v>
      </c>
      <c r="AP126">
        <v>25.6</v>
      </c>
      <c r="AQ126">
        <v>0.2982456140350877</v>
      </c>
      <c r="AR126">
        <v>54.47</v>
      </c>
      <c r="AS126">
        <v>27.24</v>
      </c>
      <c r="AT126">
        <v>18.29</v>
      </c>
    </row>
    <row r="127" spans="1:46" x14ac:dyDescent="0.25">
      <c r="A127" s="1">
        <v>125</v>
      </c>
      <c r="B127" t="s">
        <v>56</v>
      </c>
      <c r="C127">
        <v>1</v>
      </c>
      <c r="D127" t="s">
        <v>55</v>
      </c>
      <c r="E127" t="s">
        <v>59</v>
      </c>
      <c r="F127" t="s">
        <v>62</v>
      </c>
      <c r="G127" t="s">
        <v>65</v>
      </c>
      <c r="H127">
        <v>1</v>
      </c>
      <c r="I127">
        <v>1</v>
      </c>
      <c r="J127">
        <v>0</v>
      </c>
      <c r="K127" t="s">
        <v>181</v>
      </c>
      <c r="L127">
        <v>40</v>
      </c>
      <c r="M127">
        <v>27</v>
      </c>
      <c r="N127">
        <v>3</v>
      </c>
      <c r="O127">
        <v>6</v>
      </c>
      <c r="P127">
        <v>50</v>
      </c>
      <c r="Q127">
        <v>5</v>
      </c>
      <c r="R127">
        <v>10</v>
      </c>
      <c r="S127">
        <v>50</v>
      </c>
      <c r="T127">
        <v>8</v>
      </c>
      <c r="U127">
        <v>16</v>
      </c>
      <c r="V127">
        <v>50</v>
      </c>
      <c r="W127">
        <v>6</v>
      </c>
      <c r="X127">
        <v>12</v>
      </c>
      <c r="Y127">
        <v>50</v>
      </c>
      <c r="Z127">
        <v>1</v>
      </c>
      <c r="AA127">
        <v>3</v>
      </c>
      <c r="AB127">
        <v>4</v>
      </c>
      <c r="AC127">
        <v>4</v>
      </c>
      <c r="AD127">
        <v>3</v>
      </c>
      <c r="AE127">
        <v>3</v>
      </c>
      <c r="AF127">
        <v>0</v>
      </c>
      <c r="AG127">
        <v>0</v>
      </c>
      <c r="AH127">
        <v>0</v>
      </c>
      <c r="AI127">
        <v>2</v>
      </c>
      <c r="AJ127">
        <v>7</v>
      </c>
      <c r="AK127">
        <v>26</v>
      </c>
      <c r="AL127">
        <v>4</v>
      </c>
      <c r="AM127">
        <v>24.28</v>
      </c>
      <c r="AN127">
        <v>0.60699999999999998</v>
      </c>
      <c r="AO127">
        <v>63.44</v>
      </c>
      <c r="AP127">
        <v>12.36</v>
      </c>
      <c r="AQ127">
        <v>0.375</v>
      </c>
      <c r="AR127">
        <v>28.2</v>
      </c>
      <c r="AS127">
        <v>46.99</v>
      </c>
      <c r="AT127">
        <v>24.81</v>
      </c>
    </row>
    <row r="128" spans="1:46" x14ac:dyDescent="0.25">
      <c r="A128" s="1">
        <v>126</v>
      </c>
      <c r="B128" t="s">
        <v>56</v>
      </c>
      <c r="C128">
        <v>1</v>
      </c>
      <c r="D128" t="s">
        <v>55</v>
      </c>
      <c r="E128" t="s">
        <v>59</v>
      </c>
      <c r="F128" t="s">
        <v>62</v>
      </c>
      <c r="G128" t="s">
        <v>65</v>
      </c>
      <c r="H128">
        <v>1</v>
      </c>
      <c r="I128">
        <v>0</v>
      </c>
      <c r="J128">
        <v>3</v>
      </c>
      <c r="K128" t="s">
        <v>182</v>
      </c>
      <c r="L128">
        <v>25.616666666666671</v>
      </c>
      <c r="M128">
        <v>15</v>
      </c>
      <c r="N128">
        <v>0</v>
      </c>
      <c r="O128">
        <v>2</v>
      </c>
      <c r="P128">
        <v>0</v>
      </c>
      <c r="Q128">
        <v>5</v>
      </c>
      <c r="R128">
        <v>11</v>
      </c>
      <c r="S128">
        <v>45.5</v>
      </c>
      <c r="T128">
        <v>5</v>
      </c>
      <c r="U128">
        <v>13</v>
      </c>
      <c r="V128">
        <v>38.5</v>
      </c>
      <c r="W128">
        <v>0</v>
      </c>
      <c r="X128">
        <v>0</v>
      </c>
      <c r="Y128">
        <v>0</v>
      </c>
      <c r="Z128">
        <v>1</v>
      </c>
      <c r="AA128">
        <v>1</v>
      </c>
      <c r="AB128">
        <v>2</v>
      </c>
      <c r="AC128">
        <v>2</v>
      </c>
      <c r="AD128">
        <v>2</v>
      </c>
      <c r="AE128">
        <v>4</v>
      </c>
      <c r="AF128">
        <v>0</v>
      </c>
      <c r="AG128">
        <v>1</v>
      </c>
      <c r="AH128">
        <v>0</v>
      </c>
      <c r="AI128">
        <v>4</v>
      </c>
      <c r="AJ128">
        <v>1</v>
      </c>
      <c r="AK128">
        <v>6</v>
      </c>
      <c r="AL128">
        <v>2</v>
      </c>
      <c r="AM128">
        <v>17</v>
      </c>
      <c r="AN128">
        <v>0.66363044892648015</v>
      </c>
      <c r="AO128">
        <v>57.69</v>
      </c>
      <c r="AP128">
        <v>23.53</v>
      </c>
      <c r="AQ128">
        <v>0</v>
      </c>
      <c r="AR128">
        <v>15.38</v>
      </c>
      <c r="AS128">
        <v>84.62</v>
      </c>
      <c r="AT128">
        <v>0</v>
      </c>
    </row>
    <row r="129" spans="1:46" x14ac:dyDescent="0.25">
      <c r="A129" s="1">
        <v>127</v>
      </c>
      <c r="B129" t="s">
        <v>56</v>
      </c>
      <c r="C129">
        <v>1</v>
      </c>
      <c r="D129" t="s">
        <v>55</v>
      </c>
      <c r="E129" t="s">
        <v>59</v>
      </c>
      <c r="F129" t="s">
        <v>62</v>
      </c>
      <c r="G129" t="s">
        <v>65</v>
      </c>
      <c r="H129">
        <v>1</v>
      </c>
      <c r="I129">
        <v>0</v>
      </c>
      <c r="J129">
        <v>7</v>
      </c>
      <c r="K129" t="s">
        <v>183</v>
      </c>
      <c r="L129">
        <v>5.45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2</v>
      </c>
      <c r="AA129">
        <v>0</v>
      </c>
      <c r="AB129">
        <v>2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2</v>
      </c>
      <c r="AJ129">
        <v>0</v>
      </c>
      <c r="AK129">
        <v>-2</v>
      </c>
      <c r="AL129">
        <v>-8</v>
      </c>
      <c r="AM129">
        <v>2</v>
      </c>
      <c r="AN129">
        <v>0.36697247706422009</v>
      </c>
      <c r="AO129">
        <v>0</v>
      </c>
      <c r="AP129">
        <v>50</v>
      </c>
      <c r="AQ129">
        <v>0</v>
      </c>
      <c r="AR129">
        <v>100</v>
      </c>
      <c r="AS129">
        <v>0</v>
      </c>
      <c r="AT129">
        <v>0</v>
      </c>
    </row>
    <row r="130" spans="1:46" x14ac:dyDescent="0.25">
      <c r="A130" s="1">
        <v>128</v>
      </c>
      <c r="B130" t="s">
        <v>56</v>
      </c>
      <c r="C130">
        <v>1</v>
      </c>
      <c r="D130" t="s">
        <v>55</v>
      </c>
      <c r="E130" t="s">
        <v>59</v>
      </c>
      <c r="F130" t="s">
        <v>62</v>
      </c>
      <c r="G130" t="s">
        <v>65</v>
      </c>
      <c r="H130">
        <v>1</v>
      </c>
      <c r="I130">
        <v>1</v>
      </c>
      <c r="J130">
        <v>22</v>
      </c>
      <c r="K130" t="s">
        <v>184</v>
      </c>
      <c r="L130">
        <v>29.9</v>
      </c>
      <c r="M130">
        <v>10</v>
      </c>
      <c r="N130">
        <v>4</v>
      </c>
      <c r="O130">
        <v>7</v>
      </c>
      <c r="P130">
        <v>57.1</v>
      </c>
      <c r="Q130">
        <v>0</v>
      </c>
      <c r="R130">
        <v>0</v>
      </c>
      <c r="S130">
        <v>0</v>
      </c>
      <c r="T130">
        <v>4</v>
      </c>
      <c r="U130">
        <v>7</v>
      </c>
      <c r="V130">
        <v>57.1</v>
      </c>
      <c r="W130">
        <v>2</v>
      </c>
      <c r="X130">
        <v>2</v>
      </c>
      <c r="Y130">
        <v>100</v>
      </c>
      <c r="Z130">
        <v>3</v>
      </c>
      <c r="AA130">
        <v>3</v>
      </c>
      <c r="AB130">
        <v>6</v>
      </c>
      <c r="AC130">
        <v>3</v>
      </c>
      <c r="AD130">
        <v>0</v>
      </c>
      <c r="AE130">
        <v>2</v>
      </c>
      <c r="AF130">
        <v>0</v>
      </c>
      <c r="AG130">
        <v>0</v>
      </c>
      <c r="AH130">
        <v>0</v>
      </c>
      <c r="AI130">
        <v>4</v>
      </c>
      <c r="AJ130">
        <v>1</v>
      </c>
      <c r="AK130">
        <v>11</v>
      </c>
      <c r="AL130">
        <v>4</v>
      </c>
      <c r="AM130">
        <v>9.879999999999999</v>
      </c>
      <c r="AN130">
        <v>0.33043478260869558</v>
      </c>
      <c r="AO130">
        <v>63.45</v>
      </c>
      <c r="AP130">
        <v>20.239999999999998</v>
      </c>
      <c r="AQ130">
        <v>0.2857142857142857</v>
      </c>
      <c r="AR130">
        <v>88.83</v>
      </c>
      <c r="AS130">
        <v>0</v>
      </c>
      <c r="AT130">
        <v>11.17</v>
      </c>
    </row>
    <row r="131" spans="1:46" x14ac:dyDescent="0.25">
      <c r="A131" s="1">
        <v>129</v>
      </c>
      <c r="B131" t="s">
        <v>56</v>
      </c>
      <c r="C131">
        <v>1</v>
      </c>
      <c r="D131" t="s">
        <v>55</v>
      </c>
      <c r="E131" t="s">
        <v>59</v>
      </c>
      <c r="F131" t="s">
        <v>62</v>
      </c>
      <c r="G131" t="s">
        <v>65</v>
      </c>
      <c r="H131">
        <v>1</v>
      </c>
      <c r="I131">
        <v>1</v>
      </c>
      <c r="J131">
        <v>24</v>
      </c>
      <c r="K131" t="s">
        <v>185</v>
      </c>
      <c r="L131">
        <v>33.783333333333331</v>
      </c>
      <c r="M131">
        <v>8</v>
      </c>
      <c r="N131">
        <v>1</v>
      </c>
      <c r="O131">
        <v>5</v>
      </c>
      <c r="P131">
        <v>20</v>
      </c>
      <c r="Q131">
        <v>1</v>
      </c>
      <c r="R131">
        <v>7</v>
      </c>
      <c r="S131">
        <v>14.3</v>
      </c>
      <c r="T131">
        <v>2</v>
      </c>
      <c r="U131">
        <v>12</v>
      </c>
      <c r="V131">
        <v>16.7</v>
      </c>
      <c r="W131">
        <v>3</v>
      </c>
      <c r="X131">
        <v>4</v>
      </c>
      <c r="Y131">
        <v>75</v>
      </c>
      <c r="Z131">
        <v>1</v>
      </c>
      <c r="AA131">
        <v>6</v>
      </c>
      <c r="AB131">
        <v>7</v>
      </c>
      <c r="AC131">
        <v>4</v>
      </c>
      <c r="AD131">
        <v>1</v>
      </c>
      <c r="AE131">
        <v>3</v>
      </c>
      <c r="AF131">
        <v>0</v>
      </c>
      <c r="AG131">
        <v>0</v>
      </c>
      <c r="AH131">
        <v>0</v>
      </c>
      <c r="AI131">
        <v>4</v>
      </c>
      <c r="AJ131">
        <v>3</v>
      </c>
      <c r="AK131">
        <v>5</v>
      </c>
      <c r="AL131">
        <v>4</v>
      </c>
      <c r="AM131">
        <v>16.760000000000002</v>
      </c>
      <c r="AN131">
        <v>0.49610261470152928</v>
      </c>
      <c r="AO131">
        <v>29.07</v>
      </c>
      <c r="AP131">
        <v>17.899999999999999</v>
      </c>
      <c r="AQ131">
        <v>0.25</v>
      </c>
      <c r="AR131">
        <v>36.340000000000003</v>
      </c>
      <c r="AS131">
        <v>50.87</v>
      </c>
      <c r="AT131">
        <v>12.79</v>
      </c>
    </row>
    <row r="132" spans="1:46" x14ac:dyDescent="0.25">
      <c r="A132" s="1">
        <v>130</v>
      </c>
      <c r="B132" t="s">
        <v>56</v>
      </c>
      <c r="C132">
        <v>1</v>
      </c>
      <c r="D132" t="s">
        <v>55</v>
      </c>
      <c r="E132" t="s">
        <v>59</v>
      </c>
      <c r="F132" t="s">
        <v>62</v>
      </c>
      <c r="G132" t="s">
        <v>65</v>
      </c>
      <c r="H132">
        <v>1</v>
      </c>
      <c r="I132">
        <v>1</v>
      </c>
      <c r="J132">
        <v>25</v>
      </c>
      <c r="K132" t="s">
        <v>186</v>
      </c>
      <c r="L132">
        <v>29.983333333333331</v>
      </c>
      <c r="M132">
        <v>9</v>
      </c>
      <c r="N132">
        <v>3</v>
      </c>
      <c r="O132">
        <v>6</v>
      </c>
      <c r="P132">
        <v>50</v>
      </c>
      <c r="Q132">
        <v>0</v>
      </c>
      <c r="R132">
        <v>0</v>
      </c>
      <c r="S132">
        <v>0</v>
      </c>
      <c r="T132">
        <v>3</v>
      </c>
      <c r="U132">
        <v>6</v>
      </c>
      <c r="V132">
        <v>50</v>
      </c>
      <c r="W132">
        <v>3</v>
      </c>
      <c r="X132">
        <v>4</v>
      </c>
      <c r="Y132">
        <v>75</v>
      </c>
      <c r="Z132">
        <v>1</v>
      </c>
      <c r="AA132">
        <v>4</v>
      </c>
      <c r="AB132">
        <v>5</v>
      </c>
      <c r="AC132">
        <v>1</v>
      </c>
      <c r="AD132">
        <v>1</v>
      </c>
      <c r="AE132">
        <v>2</v>
      </c>
      <c r="AF132">
        <v>0</v>
      </c>
      <c r="AG132">
        <v>0</v>
      </c>
      <c r="AH132">
        <v>0</v>
      </c>
      <c r="AI132">
        <v>3</v>
      </c>
      <c r="AJ132">
        <v>3</v>
      </c>
      <c r="AK132">
        <v>10</v>
      </c>
      <c r="AL132">
        <v>-3</v>
      </c>
      <c r="AM132">
        <v>9.76</v>
      </c>
      <c r="AN132">
        <v>0.3255141745414119</v>
      </c>
      <c r="AO132">
        <v>57.99</v>
      </c>
      <c r="AP132">
        <v>20.49</v>
      </c>
      <c r="AQ132">
        <v>0.5</v>
      </c>
      <c r="AR132">
        <v>77.319999999999993</v>
      </c>
      <c r="AS132">
        <v>0</v>
      </c>
      <c r="AT132">
        <v>22.68</v>
      </c>
    </row>
    <row r="133" spans="1:46" x14ac:dyDescent="0.25">
      <c r="A133" s="1">
        <v>131</v>
      </c>
      <c r="B133" t="s">
        <v>56</v>
      </c>
      <c r="C133">
        <v>1</v>
      </c>
      <c r="D133" t="s">
        <v>55</v>
      </c>
      <c r="E133" t="s">
        <v>59</v>
      </c>
      <c r="F133" t="s">
        <v>62</v>
      </c>
      <c r="G133" t="s">
        <v>65</v>
      </c>
      <c r="H133">
        <v>1</v>
      </c>
      <c r="I133">
        <v>0</v>
      </c>
      <c r="J133">
        <v>29</v>
      </c>
      <c r="K133" t="s">
        <v>187</v>
      </c>
      <c r="L133">
        <v>8.9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2</v>
      </c>
      <c r="S133">
        <v>0</v>
      </c>
      <c r="T133">
        <v>0</v>
      </c>
      <c r="U133">
        <v>2</v>
      </c>
      <c r="V133">
        <v>0</v>
      </c>
      <c r="W133">
        <v>1</v>
      </c>
      <c r="X133">
        <v>2</v>
      </c>
      <c r="Y133">
        <v>50</v>
      </c>
      <c r="Z133">
        <v>1</v>
      </c>
      <c r="AA133">
        <v>0</v>
      </c>
      <c r="AB133">
        <v>1</v>
      </c>
      <c r="AC133">
        <v>0</v>
      </c>
      <c r="AD133">
        <v>1</v>
      </c>
      <c r="AE133">
        <v>1</v>
      </c>
      <c r="AF133">
        <v>0</v>
      </c>
      <c r="AG133">
        <v>0</v>
      </c>
      <c r="AH133">
        <v>0</v>
      </c>
      <c r="AI133">
        <v>1</v>
      </c>
      <c r="AJ133">
        <v>1</v>
      </c>
      <c r="AK133">
        <v>-1</v>
      </c>
      <c r="AL133">
        <v>5</v>
      </c>
      <c r="AM133">
        <v>3.88</v>
      </c>
      <c r="AN133">
        <v>0.43595505617977531</v>
      </c>
      <c r="AO133">
        <v>17.36</v>
      </c>
      <c r="AP133">
        <v>25.77</v>
      </c>
      <c r="AQ133">
        <v>0.5</v>
      </c>
      <c r="AR133">
        <v>0</v>
      </c>
      <c r="AS133">
        <v>69.44</v>
      </c>
      <c r="AT133">
        <v>30.56</v>
      </c>
    </row>
    <row r="134" spans="1:46" x14ac:dyDescent="0.25">
      <c r="A134" s="1">
        <v>132</v>
      </c>
      <c r="B134" t="s">
        <v>56</v>
      </c>
      <c r="C134">
        <v>1</v>
      </c>
      <c r="D134" t="s">
        <v>55</v>
      </c>
      <c r="E134" t="s">
        <v>59</v>
      </c>
      <c r="F134" t="s">
        <v>62</v>
      </c>
      <c r="G134" t="s">
        <v>65</v>
      </c>
      <c r="H134">
        <v>1</v>
      </c>
      <c r="I134">
        <v>1</v>
      </c>
      <c r="J134">
        <v>35</v>
      </c>
      <c r="K134" t="s">
        <v>188</v>
      </c>
      <c r="L134">
        <v>26.366666666666671</v>
      </c>
      <c r="M134">
        <v>9</v>
      </c>
      <c r="N134">
        <v>3</v>
      </c>
      <c r="O134">
        <v>6</v>
      </c>
      <c r="P134">
        <v>50</v>
      </c>
      <c r="Q134">
        <v>0</v>
      </c>
      <c r="R134">
        <v>0</v>
      </c>
      <c r="S134">
        <v>0</v>
      </c>
      <c r="T134">
        <v>3</v>
      </c>
      <c r="U134">
        <v>6</v>
      </c>
      <c r="V134">
        <v>50</v>
      </c>
      <c r="W134">
        <v>3</v>
      </c>
      <c r="X134">
        <v>4</v>
      </c>
      <c r="Y134">
        <v>75</v>
      </c>
      <c r="Z134">
        <v>6</v>
      </c>
      <c r="AA134">
        <v>3</v>
      </c>
      <c r="AB134">
        <v>9</v>
      </c>
      <c r="AC134">
        <v>3</v>
      </c>
      <c r="AD134">
        <v>4</v>
      </c>
      <c r="AE134">
        <v>7</v>
      </c>
      <c r="AF134">
        <v>1</v>
      </c>
      <c r="AG134">
        <v>0</v>
      </c>
      <c r="AH134">
        <v>0</v>
      </c>
      <c r="AI134">
        <v>4</v>
      </c>
      <c r="AJ134">
        <v>5</v>
      </c>
      <c r="AK134">
        <v>16</v>
      </c>
      <c r="AL134">
        <v>12</v>
      </c>
      <c r="AM134">
        <v>14.76</v>
      </c>
      <c r="AN134">
        <v>0.55979772439949427</v>
      </c>
      <c r="AO134">
        <v>57.99</v>
      </c>
      <c r="AP134">
        <v>47.43</v>
      </c>
      <c r="AQ134">
        <v>0.5</v>
      </c>
      <c r="AR134">
        <v>77.319999999999993</v>
      </c>
      <c r="AS134">
        <v>0</v>
      </c>
      <c r="AT134">
        <v>22.68</v>
      </c>
    </row>
    <row r="135" spans="1:46" x14ac:dyDescent="0.25">
      <c r="A135" s="1">
        <v>133</v>
      </c>
      <c r="B135" t="s">
        <v>56</v>
      </c>
      <c r="C135">
        <v>1</v>
      </c>
      <c r="D135" t="s">
        <v>55</v>
      </c>
      <c r="E135" t="s">
        <v>59</v>
      </c>
      <c r="F135" t="s">
        <v>62</v>
      </c>
      <c r="G135" t="s">
        <v>65</v>
      </c>
      <c r="H135">
        <v>1</v>
      </c>
      <c r="I135">
        <v>0</v>
      </c>
      <c r="K135" t="s">
        <v>77</v>
      </c>
      <c r="L135">
        <v>200</v>
      </c>
      <c r="M135">
        <v>79</v>
      </c>
      <c r="N135">
        <v>14</v>
      </c>
      <c r="O135">
        <v>33</v>
      </c>
      <c r="P135">
        <v>42.4</v>
      </c>
      <c r="Q135">
        <v>11</v>
      </c>
      <c r="R135">
        <v>30</v>
      </c>
      <c r="S135">
        <v>36.700000000000003</v>
      </c>
      <c r="T135">
        <v>25</v>
      </c>
      <c r="U135">
        <v>63</v>
      </c>
      <c r="V135">
        <v>39.700000000000003</v>
      </c>
      <c r="W135">
        <v>18</v>
      </c>
      <c r="X135">
        <v>28</v>
      </c>
      <c r="Y135">
        <v>64.3</v>
      </c>
      <c r="Z135">
        <v>16</v>
      </c>
      <c r="AA135">
        <v>20</v>
      </c>
      <c r="AB135">
        <v>36</v>
      </c>
      <c r="AC135">
        <v>17</v>
      </c>
      <c r="AD135">
        <v>12</v>
      </c>
      <c r="AE135">
        <v>23</v>
      </c>
      <c r="AF135">
        <v>1</v>
      </c>
      <c r="AG135">
        <v>1</v>
      </c>
      <c r="AH135">
        <v>0</v>
      </c>
      <c r="AI135">
        <v>24</v>
      </c>
      <c r="AJ135">
        <v>21</v>
      </c>
      <c r="AK135">
        <v>71</v>
      </c>
      <c r="AM135">
        <v>98.32</v>
      </c>
      <c r="AN135">
        <v>0.49159999999999998</v>
      </c>
      <c r="AO135">
        <v>52.44</v>
      </c>
      <c r="AP135">
        <v>23.39</v>
      </c>
      <c r="AQ135">
        <v>0.2857142857142857</v>
      </c>
      <c r="AR135">
        <v>43.81</v>
      </c>
      <c r="AS135">
        <v>39.83</v>
      </c>
      <c r="AT135">
        <v>16.36</v>
      </c>
    </row>
    <row r="136" spans="1:46" x14ac:dyDescent="0.25">
      <c r="A136" s="1">
        <v>134</v>
      </c>
      <c r="B136" t="s">
        <v>57</v>
      </c>
      <c r="C136">
        <v>1</v>
      </c>
      <c r="D136" t="s">
        <v>58</v>
      </c>
      <c r="E136" t="s">
        <v>59</v>
      </c>
      <c r="F136" t="s">
        <v>63</v>
      </c>
      <c r="G136" t="s">
        <v>64</v>
      </c>
      <c r="H136">
        <v>0</v>
      </c>
      <c r="I136">
        <v>1</v>
      </c>
      <c r="J136">
        <v>3</v>
      </c>
      <c r="K136" t="s">
        <v>189</v>
      </c>
      <c r="L136">
        <v>30.7</v>
      </c>
      <c r="M136">
        <v>12</v>
      </c>
      <c r="N136">
        <v>0</v>
      </c>
      <c r="O136">
        <v>3</v>
      </c>
      <c r="P136">
        <v>0</v>
      </c>
      <c r="Q136">
        <v>3</v>
      </c>
      <c r="R136">
        <v>6</v>
      </c>
      <c r="S136">
        <v>50</v>
      </c>
      <c r="T136">
        <v>3</v>
      </c>
      <c r="U136">
        <v>9</v>
      </c>
      <c r="V136">
        <v>33.299999999999997</v>
      </c>
      <c r="W136">
        <v>3</v>
      </c>
      <c r="X136">
        <v>4</v>
      </c>
      <c r="Y136">
        <v>75</v>
      </c>
      <c r="Z136">
        <v>1</v>
      </c>
      <c r="AA136">
        <v>1</v>
      </c>
      <c r="AB136">
        <v>2</v>
      </c>
      <c r="AC136">
        <v>4</v>
      </c>
      <c r="AD136">
        <v>0</v>
      </c>
      <c r="AE136">
        <v>3</v>
      </c>
      <c r="AF136">
        <v>0</v>
      </c>
      <c r="AG136">
        <v>0</v>
      </c>
      <c r="AH136">
        <v>0</v>
      </c>
      <c r="AI136">
        <v>2</v>
      </c>
      <c r="AJ136">
        <v>6</v>
      </c>
      <c r="AK136">
        <v>12</v>
      </c>
      <c r="AL136">
        <v>-2</v>
      </c>
      <c r="AM136">
        <v>13.76</v>
      </c>
      <c r="AN136">
        <v>0.44820846905537459</v>
      </c>
      <c r="AO136">
        <v>55.76</v>
      </c>
      <c r="AP136">
        <v>21.8</v>
      </c>
      <c r="AQ136">
        <v>0.33333333333333331</v>
      </c>
      <c r="AR136">
        <v>27.88</v>
      </c>
      <c r="AS136">
        <v>55.76</v>
      </c>
      <c r="AT136">
        <v>16.36</v>
      </c>
    </row>
    <row r="137" spans="1:46" x14ac:dyDescent="0.25">
      <c r="A137" s="1">
        <v>135</v>
      </c>
      <c r="B137" t="s">
        <v>57</v>
      </c>
      <c r="C137">
        <v>1</v>
      </c>
      <c r="D137" t="s">
        <v>58</v>
      </c>
      <c r="E137" t="s">
        <v>59</v>
      </c>
      <c r="F137" t="s">
        <v>63</v>
      </c>
      <c r="G137" t="s">
        <v>64</v>
      </c>
      <c r="H137">
        <v>0</v>
      </c>
      <c r="I137">
        <v>1</v>
      </c>
      <c r="J137">
        <v>4</v>
      </c>
      <c r="K137" t="s">
        <v>190</v>
      </c>
      <c r="L137">
        <v>20.466666666666669</v>
      </c>
      <c r="M137">
        <v>3</v>
      </c>
      <c r="N137">
        <v>0</v>
      </c>
      <c r="O137">
        <v>0</v>
      </c>
      <c r="P137">
        <v>0</v>
      </c>
      <c r="Q137">
        <v>1</v>
      </c>
      <c r="R137">
        <v>5</v>
      </c>
      <c r="S137">
        <v>20</v>
      </c>
      <c r="T137">
        <v>1</v>
      </c>
      <c r="U137">
        <v>5</v>
      </c>
      <c r="V137">
        <v>20</v>
      </c>
      <c r="W137">
        <v>0</v>
      </c>
      <c r="X137">
        <v>0</v>
      </c>
      <c r="Y137">
        <v>0</v>
      </c>
      <c r="Z137">
        <v>0</v>
      </c>
      <c r="AA137">
        <v>1</v>
      </c>
      <c r="AB137">
        <v>1</v>
      </c>
      <c r="AC137">
        <v>1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2</v>
      </c>
      <c r="AK137">
        <v>4</v>
      </c>
      <c r="AL137">
        <v>-6</v>
      </c>
      <c r="AM137">
        <v>5</v>
      </c>
      <c r="AN137">
        <v>0.244299674267101</v>
      </c>
      <c r="AO137">
        <v>30</v>
      </c>
      <c r="AP137">
        <v>0</v>
      </c>
      <c r="AQ137">
        <v>0</v>
      </c>
      <c r="AR137">
        <v>0</v>
      </c>
      <c r="AS137">
        <v>100</v>
      </c>
      <c r="AT137">
        <v>0</v>
      </c>
    </row>
    <row r="138" spans="1:46" x14ac:dyDescent="0.25">
      <c r="A138" s="1">
        <v>136</v>
      </c>
      <c r="B138" t="s">
        <v>57</v>
      </c>
      <c r="C138">
        <v>1</v>
      </c>
      <c r="D138" t="s">
        <v>58</v>
      </c>
      <c r="E138" t="s">
        <v>59</v>
      </c>
      <c r="F138" t="s">
        <v>63</v>
      </c>
      <c r="G138" t="s">
        <v>64</v>
      </c>
      <c r="H138">
        <v>0</v>
      </c>
      <c r="I138">
        <v>1</v>
      </c>
      <c r="J138">
        <v>5</v>
      </c>
      <c r="K138" t="s">
        <v>191</v>
      </c>
      <c r="L138">
        <v>17.583333333333329</v>
      </c>
      <c r="M138">
        <v>6</v>
      </c>
      <c r="N138">
        <v>0</v>
      </c>
      <c r="O138">
        <v>0</v>
      </c>
      <c r="P138">
        <v>0</v>
      </c>
      <c r="Q138">
        <v>2</v>
      </c>
      <c r="R138">
        <v>4</v>
      </c>
      <c r="S138">
        <v>50</v>
      </c>
      <c r="T138">
        <v>2</v>
      </c>
      <c r="U138">
        <v>4</v>
      </c>
      <c r="V138">
        <v>50</v>
      </c>
      <c r="W138">
        <v>0</v>
      </c>
      <c r="X138">
        <v>0</v>
      </c>
      <c r="Y138">
        <v>0</v>
      </c>
      <c r="Z138">
        <v>0</v>
      </c>
      <c r="AA138">
        <v>2</v>
      </c>
      <c r="AB138">
        <v>2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4</v>
      </c>
      <c r="AJ138">
        <v>1</v>
      </c>
      <c r="AK138">
        <v>3</v>
      </c>
      <c r="AL138">
        <v>6</v>
      </c>
      <c r="AM138">
        <v>4</v>
      </c>
      <c r="AN138">
        <v>0.22748815165876779</v>
      </c>
      <c r="AO138">
        <v>75</v>
      </c>
      <c r="AP138">
        <v>0</v>
      </c>
      <c r="AQ138">
        <v>0</v>
      </c>
      <c r="AR138">
        <v>0</v>
      </c>
      <c r="AS138">
        <v>100</v>
      </c>
      <c r="AT138">
        <v>0</v>
      </c>
    </row>
    <row r="139" spans="1:46" x14ac:dyDescent="0.25">
      <c r="A139" s="1">
        <v>137</v>
      </c>
      <c r="B139" t="s">
        <v>57</v>
      </c>
      <c r="C139">
        <v>1</v>
      </c>
      <c r="D139" t="s">
        <v>58</v>
      </c>
      <c r="E139" t="s">
        <v>59</v>
      </c>
      <c r="F139" t="s">
        <v>63</v>
      </c>
      <c r="G139" t="s">
        <v>64</v>
      </c>
      <c r="H139">
        <v>0</v>
      </c>
      <c r="I139">
        <v>0</v>
      </c>
      <c r="J139">
        <v>8</v>
      </c>
      <c r="K139" t="s">
        <v>192</v>
      </c>
      <c r="L139">
        <v>11.83333333333333</v>
      </c>
      <c r="M139">
        <v>3</v>
      </c>
      <c r="N139">
        <v>0</v>
      </c>
      <c r="O139">
        <v>0</v>
      </c>
      <c r="P139">
        <v>0</v>
      </c>
      <c r="Q139">
        <v>1</v>
      </c>
      <c r="R139">
        <v>2</v>
      </c>
      <c r="S139">
        <v>50</v>
      </c>
      <c r="T139">
        <v>1</v>
      </c>
      <c r="U139">
        <v>2</v>
      </c>
      <c r="V139">
        <v>50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</v>
      </c>
      <c r="AE139">
        <v>2</v>
      </c>
      <c r="AF139">
        <v>0</v>
      </c>
      <c r="AG139">
        <v>0</v>
      </c>
      <c r="AH139">
        <v>0</v>
      </c>
      <c r="AI139">
        <v>1</v>
      </c>
      <c r="AJ139">
        <v>0</v>
      </c>
      <c r="AK139">
        <v>2</v>
      </c>
      <c r="AL139">
        <v>-6</v>
      </c>
      <c r="AM139">
        <v>4</v>
      </c>
      <c r="AN139">
        <v>0.3380281690140845</v>
      </c>
      <c r="AO139">
        <v>75</v>
      </c>
      <c r="AP139">
        <v>50</v>
      </c>
      <c r="AQ139">
        <v>0</v>
      </c>
      <c r="AR139">
        <v>0</v>
      </c>
      <c r="AS139">
        <v>100</v>
      </c>
      <c r="AT139">
        <v>0</v>
      </c>
    </row>
    <row r="140" spans="1:46" x14ac:dyDescent="0.25">
      <c r="A140" s="1">
        <v>138</v>
      </c>
      <c r="B140" t="s">
        <v>57</v>
      </c>
      <c r="C140">
        <v>1</v>
      </c>
      <c r="D140" t="s">
        <v>58</v>
      </c>
      <c r="E140" t="s">
        <v>59</v>
      </c>
      <c r="F140" t="s">
        <v>63</v>
      </c>
      <c r="G140" t="s">
        <v>64</v>
      </c>
      <c r="H140">
        <v>0</v>
      </c>
      <c r="I140">
        <v>0</v>
      </c>
      <c r="J140">
        <v>10</v>
      </c>
      <c r="K140" t="s">
        <v>193</v>
      </c>
      <c r="L140">
        <v>18.05</v>
      </c>
      <c r="M140">
        <v>7</v>
      </c>
      <c r="N140">
        <v>3</v>
      </c>
      <c r="O140">
        <v>5</v>
      </c>
      <c r="P140">
        <v>60</v>
      </c>
      <c r="Q140">
        <v>0</v>
      </c>
      <c r="R140">
        <v>0</v>
      </c>
      <c r="S140">
        <v>0</v>
      </c>
      <c r="T140">
        <v>3</v>
      </c>
      <c r="U140">
        <v>5</v>
      </c>
      <c r="V140">
        <v>60</v>
      </c>
      <c r="W140">
        <v>1</v>
      </c>
      <c r="X140">
        <v>2</v>
      </c>
      <c r="Y140">
        <v>50</v>
      </c>
      <c r="Z140">
        <v>1</v>
      </c>
      <c r="AA140">
        <v>1</v>
      </c>
      <c r="AB140">
        <v>2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3</v>
      </c>
      <c r="AJ140">
        <v>2</v>
      </c>
      <c r="AK140">
        <v>4</v>
      </c>
      <c r="AL140">
        <v>-14</v>
      </c>
      <c r="AM140">
        <v>6.88</v>
      </c>
      <c r="AN140">
        <v>0.38116343490304699</v>
      </c>
      <c r="AO140">
        <v>59.52</v>
      </c>
      <c r="AP140">
        <v>14.53</v>
      </c>
      <c r="AQ140">
        <v>0.2</v>
      </c>
      <c r="AR140">
        <v>85.03</v>
      </c>
      <c r="AS140">
        <v>0</v>
      </c>
      <c r="AT140">
        <v>14.97</v>
      </c>
    </row>
    <row r="141" spans="1:46" x14ac:dyDescent="0.25">
      <c r="A141" s="1">
        <v>139</v>
      </c>
      <c r="B141" t="s">
        <v>57</v>
      </c>
      <c r="C141">
        <v>1</v>
      </c>
      <c r="D141" t="s">
        <v>58</v>
      </c>
      <c r="E141" t="s">
        <v>59</v>
      </c>
      <c r="F141" t="s">
        <v>63</v>
      </c>
      <c r="G141" t="s">
        <v>64</v>
      </c>
      <c r="H141">
        <v>0</v>
      </c>
      <c r="I141">
        <v>0</v>
      </c>
      <c r="J141">
        <v>14</v>
      </c>
      <c r="K141" t="s">
        <v>194</v>
      </c>
      <c r="L141">
        <v>18.883333333333329</v>
      </c>
      <c r="M141">
        <v>6</v>
      </c>
      <c r="N141">
        <v>1</v>
      </c>
      <c r="O141">
        <v>1</v>
      </c>
      <c r="P141">
        <v>100</v>
      </c>
      <c r="Q141">
        <v>1</v>
      </c>
      <c r="R141">
        <v>2</v>
      </c>
      <c r="S141">
        <v>50</v>
      </c>
      <c r="T141">
        <v>2</v>
      </c>
      <c r="U141">
        <v>3</v>
      </c>
      <c r="V141">
        <v>66.7</v>
      </c>
      <c r="W141">
        <v>1</v>
      </c>
      <c r="X141">
        <v>1</v>
      </c>
      <c r="Y141">
        <v>100</v>
      </c>
      <c r="Z141">
        <v>0</v>
      </c>
      <c r="AA141">
        <v>4</v>
      </c>
      <c r="AB141">
        <v>4</v>
      </c>
      <c r="AC141">
        <v>2</v>
      </c>
      <c r="AD141">
        <v>0</v>
      </c>
      <c r="AE141">
        <v>3</v>
      </c>
      <c r="AF141">
        <v>0</v>
      </c>
      <c r="AG141">
        <v>0</v>
      </c>
      <c r="AH141">
        <v>0</v>
      </c>
      <c r="AI141">
        <v>1</v>
      </c>
      <c r="AJ141">
        <v>2</v>
      </c>
      <c r="AK141">
        <v>9</v>
      </c>
      <c r="AL141">
        <v>-8</v>
      </c>
      <c r="AM141">
        <v>6.44</v>
      </c>
      <c r="AN141">
        <v>0.34104148278905561</v>
      </c>
      <c r="AO141">
        <v>87.21</v>
      </c>
      <c r="AP141">
        <v>46.58</v>
      </c>
      <c r="AQ141">
        <v>0.33333333333333331</v>
      </c>
      <c r="AR141">
        <v>29.07</v>
      </c>
      <c r="AS141">
        <v>58.14</v>
      </c>
      <c r="AT141">
        <v>12.79</v>
      </c>
    </row>
    <row r="142" spans="1:46" x14ac:dyDescent="0.25">
      <c r="A142" s="1">
        <v>140</v>
      </c>
      <c r="B142" t="s">
        <v>57</v>
      </c>
      <c r="C142">
        <v>1</v>
      </c>
      <c r="D142" t="s">
        <v>58</v>
      </c>
      <c r="E142" t="s">
        <v>59</v>
      </c>
      <c r="F142" t="s">
        <v>63</v>
      </c>
      <c r="G142" t="s">
        <v>64</v>
      </c>
      <c r="H142">
        <v>0</v>
      </c>
      <c r="I142">
        <v>0</v>
      </c>
      <c r="J142">
        <v>15</v>
      </c>
      <c r="K142" t="s">
        <v>195</v>
      </c>
      <c r="L142">
        <v>24.016666666666669</v>
      </c>
      <c r="M142">
        <v>22</v>
      </c>
      <c r="N142">
        <v>8</v>
      </c>
      <c r="O142">
        <v>10</v>
      </c>
      <c r="P142">
        <v>80</v>
      </c>
      <c r="Q142">
        <v>0</v>
      </c>
      <c r="R142">
        <v>1</v>
      </c>
      <c r="S142">
        <v>0</v>
      </c>
      <c r="T142">
        <v>8</v>
      </c>
      <c r="U142">
        <v>11</v>
      </c>
      <c r="V142">
        <v>72.7</v>
      </c>
      <c r="W142">
        <v>6</v>
      </c>
      <c r="X142">
        <v>6</v>
      </c>
      <c r="Y142">
        <v>100</v>
      </c>
      <c r="Z142">
        <v>3</v>
      </c>
      <c r="AA142">
        <v>3</v>
      </c>
      <c r="AB142">
        <v>6</v>
      </c>
      <c r="AC142">
        <v>1</v>
      </c>
      <c r="AD142">
        <v>1</v>
      </c>
      <c r="AE142">
        <v>3</v>
      </c>
      <c r="AF142">
        <v>0</v>
      </c>
      <c r="AG142">
        <v>0</v>
      </c>
      <c r="AH142">
        <v>0</v>
      </c>
      <c r="AI142">
        <v>4</v>
      </c>
      <c r="AJ142">
        <v>7</v>
      </c>
      <c r="AK142">
        <v>27</v>
      </c>
      <c r="AL142">
        <v>-2</v>
      </c>
      <c r="AM142">
        <v>16.64</v>
      </c>
      <c r="AN142">
        <v>0.69285218598195708</v>
      </c>
      <c r="AO142">
        <v>80.650000000000006</v>
      </c>
      <c r="AP142">
        <v>18.03</v>
      </c>
      <c r="AQ142">
        <v>0.54545454545454541</v>
      </c>
      <c r="AR142">
        <v>73.31</v>
      </c>
      <c r="AS142">
        <v>7.33</v>
      </c>
      <c r="AT142">
        <v>19.350000000000001</v>
      </c>
    </row>
    <row r="143" spans="1:46" x14ac:dyDescent="0.25">
      <c r="A143" s="1">
        <v>141</v>
      </c>
      <c r="B143" t="s">
        <v>57</v>
      </c>
      <c r="C143">
        <v>1</v>
      </c>
      <c r="D143" t="s">
        <v>58</v>
      </c>
      <c r="E143" t="s">
        <v>59</v>
      </c>
      <c r="F143" t="s">
        <v>63</v>
      </c>
      <c r="G143" t="s">
        <v>64</v>
      </c>
      <c r="H143">
        <v>0</v>
      </c>
      <c r="I143">
        <v>1</v>
      </c>
      <c r="J143">
        <v>16</v>
      </c>
      <c r="K143" t="s">
        <v>196</v>
      </c>
      <c r="L143">
        <v>15.81666666666667</v>
      </c>
      <c r="M143">
        <v>10</v>
      </c>
      <c r="N143">
        <v>5</v>
      </c>
      <c r="O143">
        <v>8</v>
      </c>
      <c r="P143">
        <v>62.5</v>
      </c>
      <c r="Q143">
        <v>0</v>
      </c>
      <c r="R143">
        <v>0</v>
      </c>
      <c r="S143">
        <v>0</v>
      </c>
      <c r="T143">
        <v>5</v>
      </c>
      <c r="U143">
        <v>8</v>
      </c>
      <c r="V143">
        <v>62.5</v>
      </c>
      <c r="W143">
        <v>0</v>
      </c>
      <c r="X143">
        <v>4</v>
      </c>
      <c r="Y143">
        <v>0</v>
      </c>
      <c r="Z143">
        <v>2</v>
      </c>
      <c r="AA143">
        <v>2</v>
      </c>
      <c r="AB143">
        <v>4</v>
      </c>
      <c r="AC143">
        <v>3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5</v>
      </c>
      <c r="AJ143">
        <v>3</v>
      </c>
      <c r="AK143">
        <v>7</v>
      </c>
      <c r="AL143">
        <v>5</v>
      </c>
      <c r="AM143">
        <v>10.76</v>
      </c>
      <c r="AN143">
        <v>0.68029504741833513</v>
      </c>
      <c r="AO143">
        <v>51.23</v>
      </c>
      <c r="AP143">
        <v>9.2899999999999991</v>
      </c>
      <c r="AQ143">
        <v>0</v>
      </c>
      <c r="AR143">
        <v>81.97</v>
      </c>
      <c r="AS143">
        <v>0</v>
      </c>
      <c r="AT143">
        <v>18.03</v>
      </c>
    </row>
    <row r="144" spans="1:46" x14ac:dyDescent="0.25">
      <c r="A144" s="1">
        <v>142</v>
      </c>
      <c r="B144" t="s">
        <v>57</v>
      </c>
      <c r="C144">
        <v>1</v>
      </c>
      <c r="D144" t="s">
        <v>58</v>
      </c>
      <c r="E144" t="s">
        <v>59</v>
      </c>
      <c r="F144" t="s">
        <v>63</v>
      </c>
      <c r="G144" t="s">
        <v>64</v>
      </c>
      <c r="H144">
        <v>0</v>
      </c>
      <c r="I144">
        <v>0</v>
      </c>
      <c r="J144">
        <v>17</v>
      </c>
      <c r="K144" t="s">
        <v>197</v>
      </c>
      <c r="L144">
        <v>8.8166666666666664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2</v>
      </c>
      <c r="AB144">
        <v>2</v>
      </c>
      <c r="AC144">
        <v>0</v>
      </c>
      <c r="AD144">
        <v>1</v>
      </c>
      <c r="AE144">
        <v>1</v>
      </c>
      <c r="AF144">
        <v>0</v>
      </c>
      <c r="AG144">
        <v>0</v>
      </c>
      <c r="AH144">
        <v>0</v>
      </c>
      <c r="AI144">
        <v>1</v>
      </c>
      <c r="AJ144">
        <v>0</v>
      </c>
      <c r="AK144">
        <v>1</v>
      </c>
      <c r="AL144">
        <v>-1</v>
      </c>
      <c r="AM144">
        <v>1</v>
      </c>
      <c r="AN144">
        <v>0.113421550094518</v>
      </c>
      <c r="AP144">
        <v>100</v>
      </c>
      <c r="AR144">
        <v>0</v>
      </c>
      <c r="AS144">
        <v>0</v>
      </c>
      <c r="AT144">
        <v>0</v>
      </c>
    </row>
    <row r="145" spans="1:53" x14ac:dyDescent="0.25">
      <c r="A145" s="1">
        <v>143</v>
      </c>
      <c r="B145" t="s">
        <v>57</v>
      </c>
      <c r="C145">
        <v>1</v>
      </c>
      <c r="D145" t="s">
        <v>58</v>
      </c>
      <c r="E145" t="s">
        <v>59</v>
      </c>
      <c r="F145" t="s">
        <v>63</v>
      </c>
      <c r="G145" t="s">
        <v>64</v>
      </c>
      <c r="H145">
        <v>0</v>
      </c>
      <c r="I145">
        <v>1</v>
      </c>
      <c r="J145">
        <v>22</v>
      </c>
      <c r="K145" t="s">
        <v>198</v>
      </c>
      <c r="L145">
        <v>22.116666666666671</v>
      </c>
      <c r="M145">
        <v>6</v>
      </c>
      <c r="N145">
        <v>3</v>
      </c>
      <c r="O145">
        <v>6</v>
      </c>
      <c r="P145">
        <v>50</v>
      </c>
      <c r="Q145">
        <v>0</v>
      </c>
      <c r="R145">
        <v>0</v>
      </c>
      <c r="S145">
        <v>0</v>
      </c>
      <c r="T145">
        <v>3</v>
      </c>
      <c r="U145">
        <v>6</v>
      </c>
      <c r="V145">
        <v>50</v>
      </c>
      <c r="W145">
        <v>0</v>
      </c>
      <c r="X145">
        <v>2</v>
      </c>
      <c r="Y145">
        <v>0</v>
      </c>
      <c r="Z145">
        <v>4</v>
      </c>
      <c r="AA145">
        <v>6</v>
      </c>
      <c r="AB145">
        <v>10</v>
      </c>
      <c r="AC145">
        <v>0</v>
      </c>
      <c r="AD145">
        <v>2</v>
      </c>
      <c r="AE145">
        <v>3</v>
      </c>
      <c r="AF145">
        <v>0</v>
      </c>
      <c r="AG145">
        <v>0</v>
      </c>
      <c r="AH145">
        <v>0</v>
      </c>
      <c r="AI145">
        <v>1</v>
      </c>
      <c r="AJ145">
        <v>1</v>
      </c>
      <c r="AK145">
        <v>10</v>
      </c>
      <c r="AL145">
        <v>-7</v>
      </c>
      <c r="AM145">
        <v>9.879999999999999</v>
      </c>
      <c r="AN145">
        <v>0.44672192916352671</v>
      </c>
      <c r="AO145">
        <v>43.6</v>
      </c>
      <c r="AP145">
        <v>30.36</v>
      </c>
      <c r="AQ145">
        <v>0</v>
      </c>
      <c r="AR145">
        <v>87.21</v>
      </c>
      <c r="AS145">
        <v>0</v>
      </c>
      <c r="AT145">
        <v>12.79</v>
      </c>
    </row>
    <row r="146" spans="1:53" x14ac:dyDescent="0.25">
      <c r="A146" s="1">
        <v>144</v>
      </c>
      <c r="B146" t="s">
        <v>57</v>
      </c>
      <c r="C146">
        <v>1</v>
      </c>
      <c r="D146" t="s">
        <v>58</v>
      </c>
      <c r="E146" t="s">
        <v>59</v>
      </c>
      <c r="F146" t="s">
        <v>63</v>
      </c>
      <c r="G146" t="s">
        <v>64</v>
      </c>
      <c r="H146">
        <v>0</v>
      </c>
      <c r="I146">
        <v>0</v>
      </c>
      <c r="J146">
        <v>24</v>
      </c>
      <c r="K146" t="s">
        <v>199</v>
      </c>
      <c r="L146">
        <v>11.71666666666667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3</v>
      </c>
      <c r="AJ146">
        <v>0</v>
      </c>
      <c r="AK146">
        <v>-4</v>
      </c>
      <c r="AL146">
        <v>-10</v>
      </c>
      <c r="AM146">
        <v>1</v>
      </c>
      <c r="AN146">
        <v>8.5348506401137975E-2</v>
      </c>
      <c r="AP146">
        <v>100</v>
      </c>
      <c r="AR146">
        <v>0</v>
      </c>
      <c r="AS146">
        <v>0</v>
      </c>
      <c r="AT146">
        <v>0</v>
      </c>
    </row>
    <row r="147" spans="1:53" x14ac:dyDescent="0.25">
      <c r="A147" s="1">
        <v>145</v>
      </c>
      <c r="B147" t="s">
        <v>57</v>
      </c>
      <c r="C147">
        <v>1</v>
      </c>
      <c r="D147" t="s">
        <v>58</v>
      </c>
      <c r="E147" t="s">
        <v>59</v>
      </c>
      <c r="F147" t="s">
        <v>63</v>
      </c>
      <c r="G147" t="s">
        <v>64</v>
      </c>
      <c r="H147">
        <v>0</v>
      </c>
      <c r="I147">
        <v>0</v>
      </c>
      <c r="K147" t="s">
        <v>77</v>
      </c>
      <c r="L147">
        <v>200</v>
      </c>
      <c r="M147">
        <v>75</v>
      </c>
      <c r="N147">
        <v>20</v>
      </c>
      <c r="O147">
        <v>33</v>
      </c>
      <c r="P147">
        <v>60.6</v>
      </c>
      <c r="Q147">
        <v>8</v>
      </c>
      <c r="R147">
        <v>20</v>
      </c>
      <c r="S147">
        <v>40</v>
      </c>
      <c r="T147">
        <v>28</v>
      </c>
      <c r="U147">
        <v>53</v>
      </c>
      <c r="V147">
        <v>52.8</v>
      </c>
      <c r="W147">
        <v>11</v>
      </c>
      <c r="X147">
        <v>19</v>
      </c>
      <c r="Y147">
        <v>57.9</v>
      </c>
      <c r="Z147">
        <v>11</v>
      </c>
      <c r="AA147">
        <v>22</v>
      </c>
      <c r="AB147">
        <v>33</v>
      </c>
      <c r="AC147">
        <v>13</v>
      </c>
      <c r="AD147">
        <v>5</v>
      </c>
      <c r="AE147">
        <v>18</v>
      </c>
      <c r="AF147">
        <v>1</v>
      </c>
      <c r="AG147">
        <v>0</v>
      </c>
      <c r="AH147">
        <v>0</v>
      </c>
      <c r="AI147">
        <v>25</v>
      </c>
      <c r="AJ147">
        <v>24</v>
      </c>
      <c r="AK147">
        <v>75</v>
      </c>
      <c r="AM147">
        <v>79.36</v>
      </c>
      <c r="AN147">
        <v>0.39679999999999999</v>
      </c>
      <c r="AO147">
        <v>61.11</v>
      </c>
      <c r="AP147">
        <v>22.68</v>
      </c>
      <c r="AQ147">
        <v>0.20754716981132079</v>
      </c>
      <c r="AR147">
        <v>53.78</v>
      </c>
      <c r="AS147">
        <v>32.590000000000003</v>
      </c>
      <c r="AT147">
        <v>13.62</v>
      </c>
    </row>
    <row r="148" spans="1:53" x14ac:dyDescent="0.25">
      <c r="A148" s="1">
        <v>146</v>
      </c>
      <c r="B148" t="s">
        <v>58</v>
      </c>
      <c r="C148">
        <v>1</v>
      </c>
      <c r="D148" t="s">
        <v>57</v>
      </c>
      <c r="E148" t="s">
        <v>59</v>
      </c>
      <c r="F148" t="s">
        <v>63</v>
      </c>
      <c r="G148" t="s">
        <v>65</v>
      </c>
      <c r="H148">
        <v>1</v>
      </c>
      <c r="I148">
        <v>1</v>
      </c>
      <c r="J148">
        <v>0</v>
      </c>
      <c r="K148" t="s">
        <v>200</v>
      </c>
      <c r="L148">
        <v>28.75</v>
      </c>
      <c r="M148">
        <v>13</v>
      </c>
      <c r="N148">
        <v>2</v>
      </c>
      <c r="O148">
        <v>6</v>
      </c>
      <c r="P148">
        <v>33.299999999999997</v>
      </c>
      <c r="Q148">
        <v>2</v>
      </c>
      <c r="R148">
        <v>3</v>
      </c>
      <c r="S148">
        <v>66.7</v>
      </c>
      <c r="T148">
        <v>4</v>
      </c>
      <c r="U148">
        <v>9</v>
      </c>
      <c r="V148">
        <v>44.4</v>
      </c>
      <c r="W148">
        <v>3</v>
      </c>
      <c r="X148">
        <v>4</v>
      </c>
      <c r="Y148">
        <v>75</v>
      </c>
      <c r="Z148">
        <v>0</v>
      </c>
      <c r="AA148">
        <v>1</v>
      </c>
      <c r="AB148">
        <v>1</v>
      </c>
      <c r="AC148">
        <v>0</v>
      </c>
      <c r="AD148">
        <v>1</v>
      </c>
      <c r="AE148">
        <v>1</v>
      </c>
      <c r="AF148">
        <v>0</v>
      </c>
      <c r="AG148">
        <v>0</v>
      </c>
      <c r="AH148">
        <v>0</v>
      </c>
      <c r="AI148">
        <v>2</v>
      </c>
      <c r="AJ148">
        <v>4</v>
      </c>
      <c r="AK148">
        <v>10</v>
      </c>
      <c r="AL148">
        <v>2</v>
      </c>
      <c r="AM148">
        <v>11.76</v>
      </c>
      <c r="AN148">
        <v>0.40904347826086962</v>
      </c>
      <c r="AO148">
        <v>60.41</v>
      </c>
      <c r="AP148">
        <v>8.5</v>
      </c>
      <c r="AQ148">
        <v>0.33333333333333331</v>
      </c>
      <c r="AR148">
        <v>55.76</v>
      </c>
      <c r="AS148">
        <v>27.88</v>
      </c>
      <c r="AT148">
        <v>16.36</v>
      </c>
    </row>
    <row r="149" spans="1:53" x14ac:dyDescent="0.25">
      <c r="A149" s="1">
        <v>147</v>
      </c>
      <c r="B149" t="s">
        <v>58</v>
      </c>
      <c r="C149">
        <v>1</v>
      </c>
      <c r="D149" t="s">
        <v>57</v>
      </c>
      <c r="E149" t="s">
        <v>59</v>
      </c>
      <c r="F149" t="s">
        <v>63</v>
      </c>
      <c r="G149" t="s">
        <v>65</v>
      </c>
      <c r="H149">
        <v>1</v>
      </c>
      <c r="I149">
        <v>1</v>
      </c>
      <c r="J149">
        <v>1</v>
      </c>
      <c r="K149" t="s">
        <v>201</v>
      </c>
      <c r="L149">
        <v>18.716666666666669</v>
      </c>
      <c r="M149">
        <v>4</v>
      </c>
      <c r="N149">
        <v>2</v>
      </c>
      <c r="O149">
        <v>5</v>
      </c>
      <c r="P149">
        <v>40</v>
      </c>
      <c r="Q149">
        <v>0</v>
      </c>
      <c r="R149">
        <v>0</v>
      </c>
      <c r="S149">
        <v>0</v>
      </c>
      <c r="T149">
        <v>2</v>
      </c>
      <c r="U149">
        <v>5</v>
      </c>
      <c r="V149">
        <v>40</v>
      </c>
      <c r="W149">
        <v>0</v>
      </c>
      <c r="X149">
        <v>0</v>
      </c>
      <c r="Y149">
        <v>0</v>
      </c>
      <c r="Z149">
        <v>3</v>
      </c>
      <c r="AA149">
        <v>2</v>
      </c>
      <c r="AB149">
        <v>5</v>
      </c>
      <c r="AC149">
        <v>0</v>
      </c>
      <c r="AD149">
        <v>2</v>
      </c>
      <c r="AE149">
        <v>2</v>
      </c>
      <c r="AF149">
        <v>0</v>
      </c>
      <c r="AG149">
        <v>0</v>
      </c>
      <c r="AH149">
        <v>0</v>
      </c>
      <c r="AI149">
        <v>3</v>
      </c>
      <c r="AJ149">
        <v>1</v>
      </c>
      <c r="AK149">
        <v>4</v>
      </c>
      <c r="AL149">
        <v>1</v>
      </c>
      <c r="AM149">
        <v>7</v>
      </c>
      <c r="AN149">
        <v>0.37399821905609981</v>
      </c>
      <c r="AO149">
        <v>40</v>
      </c>
      <c r="AP149">
        <v>28.57</v>
      </c>
      <c r="AQ149">
        <v>0</v>
      </c>
      <c r="AR149">
        <v>100</v>
      </c>
      <c r="AS149">
        <v>0</v>
      </c>
      <c r="AT149">
        <v>0</v>
      </c>
    </row>
    <row r="150" spans="1:53" x14ac:dyDescent="0.25">
      <c r="A150" s="1">
        <v>148</v>
      </c>
      <c r="B150" t="s">
        <v>58</v>
      </c>
      <c r="C150">
        <v>1</v>
      </c>
      <c r="D150" t="s">
        <v>57</v>
      </c>
      <c r="E150" t="s">
        <v>59</v>
      </c>
      <c r="F150" t="s">
        <v>63</v>
      </c>
      <c r="G150" t="s">
        <v>65</v>
      </c>
      <c r="H150">
        <v>1</v>
      </c>
      <c r="I150">
        <v>0</v>
      </c>
      <c r="J150">
        <v>4</v>
      </c>
      <c r="K150" t="s">
        <v>202</v>
      </c>
      <c r="L150">
        <v>33.783333333333331</v>
      </c>
      <c r="M150">
        <v>20</v>
      </c>
      <c r="N150">
        <v>4</v>
      </c>
      <c r="O150">
        <v>8</v>
      </c>
      <c r="P150">
        <v>50</v>
      </c>
      <c r="Q150">
        <v>4</v>
      </c>
      <c r="R150">
        <v>6</v>
      </c>
      <c r="S150">
        <v>66.7</v>
      </c>
      <c r="T150">
        <v>8</v>
      </c>
      <c r="U150">
        <v>14</v>
      </c>
      <c r="V150">
        <v>57.1</v>
      </c>
      <c r="W150">
        <v>0</v>
      </c>
      <c r="X150">
        <v>0</v>
      </c>
      <c r="Y150">
        <v>0</v>
      </c>
      <c r="Z150">
        <v>3</v>
      </c>
      <c r="AA150">
        <v>3</v>
      </c>
      <c r="AB150">
        <v>6</v>
      </c>
      <c r="AC150">
        <v>6</v>
      </c>
      <c r="AD150">
        <v>5</v>
      </c>
      <c r="AE150">
        <v>5</v>
      </c>
      <c r="AF150">
        <v>0</v>
      </c>
      <c r="AG150">
        <v>1</v>
      </c>
      <c r="AH150">
        <v>0</v>
      </c>
      <c r="AI150">
        <v>4</v>
      </c>
      <c r="AJ150">
        <v>1</v>
      </c>
      <c r="AK150">
        <v>23</v>
      </c>
      <c r="AL150">
        <v>19</v>
      </c>
      <c r="AM150">
        <v>19</v>
      </c>
      <c r="AN150">
        <v>0.5624074987666503</v>
      </c>
      <c r="AO150">
        <v>71.430000000000007</v>
      </c>
      <c r="AP150">
        <v>26.32</v>
      </c>
      <c r="AQ150">
        <v>0</v>
      </c>
      <c r="AR150">
        <v>57.14</v>
      </c>
      <c r="AS150">
        <v>42.86</v>
      </c>
      <c r="AT150">
        <v>0</v>
      </c>
    </row>
    <row r="151" spans="1:53" x14ac:dyDescent="0.25">
      <c r="A151" s="1">
        <v>149</v>
      </c>
      <c r="B151" t="s">
        <v>58</v>
      </c>
      <c r="C151">
        <v>1</v>
      </c>
      <c r="D151" t="s">
        <v>57</v>
      </c>
      <c r="E151" t="s">
        <v>59</v>
      </c>
      <c r="F151" t="s">
        <v>63</v>
      </c>
      <c r="G151" t="s">
        <v>65</v>
      </c>
      <c r="H151">
        <v>1</v>
      </c>
      <c r="I151">
        <v>0</v>
      </c>
      <c r="J151">
        <v>5</v>
      </c>
      <c r="K151" t="s">
        <v>203</v>
      </c>
      <c r="L151">
        <v>16.5</v>
      </c>
      <c r="M151">
        <v>0</v>
      </c>
      <c r="N151">
        <v>0</v>
      </c>
      <c r="O151">
        <v>2</v>
      </c>
      <c r="P151">
        <v>0</v>
      </c>
      <c r="Q151">
        <v>0</v>
      </c>
      <c r="R151">
        <v>2</v>
      </c>
      <c r="S151">
        <v>0</v>
      </c>
      <c r="T151">
        <v>0</v>
      </c>
      <c r="U151">
        <v>4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1</v>
      </c>
      <c r="AB151">
        <v>2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</v>
      </c>
      <c r="AK151">
        <v>0</v>
      </c>
      <c r="AL151">
        <v>9</v>
      </c>
      <c r="AM151">
        <v>4</v>
      </c>
      <c r="AN151">
        <v>0.2424242424242424</v>
      </c>
      <c r="AO151">
        <v>0</v>
      </c>
      <c r="AP151">
        <v>0</v>
      </c>
      <c r="AQ151">
        <v>0</v>
      </c>
      <c r="AR151">
        <v>50</v>
      </c>
      <c r="AS151">
        <v>50</v>
      </c>
      <c r="AT151">
        <v>0</v>
      </c>
    </row>
    <row r="152" spans="1:53" x14ac:dyDescent="0.25">
      <c r="A152" s="1">
        <v>150</v>
      </c>
      <c r="B152" t="s">
        <v>58</v>
      </c>
      <c r="C152">
        <v>1</v>
      </c>
      <c r="D152" t="s">
        <v>57</v>
      </c>
      <c r="E152" t="s">
        <v>59</v>
      </c>
      <c r="F152" t="s">
        <v>63</v>
      </c>
      <c r="G152" t="s">
        <v>65</v>
      </c>
      <c r="H152">
        <v>1</v>
      </c>
      <c r="I152">
        <v>1</v>
      </c>
      <c r="J152">
        <v>8</v>
      </c>
      <c r="K152" t="s">
        <v>204</v>
      </c>
      <c r="L152">
        <v>20.783333333333331</v>
      </c>
      <c r="M152">
        <v>9</v>
      </c>
      <c r="N152">
        <v>0</v>
      </c>
      <c r="O152">
        <v>0</v>
      </c>
      <c r="P152">
        <v>0</v>
      </c>
      <c r="Q152">
        <v>1</v>
      </c>
      <c r="R152">
        <v>4</v>
      </c>
      <c r="S152">
        <v>25</v>
      </c>
      <c r="T152">
        <v>1</v>
      </c>
      <c r="U152">
        <v>4</v>
      </c>
      <c r="V152">
        <v>25</v>
      </c>
      <c r="W152">
        <v>6</v>
      </c>
      <c r="X152">
        <v>6</v>
      </c>
      <c r="Y152">
        <v>100</v>
      </c>
      <c r="Z152">
        <v>1</v>
      </c>
      <c r="AA152">
        <v>2</v>
      </c>
      <c r="AB152">
        <v>3</v>
      </c>
      <c r="AC152">
        <v>0</v>
      </c>
      <c r="AD152">
        <v>0</v>
      </c>
      <c r="AE152">
        <v>2</v>
      </c>
      <c r="AF152">
        <v>0</v>
      </c>
      <c r="AG152">
        <v>0</v>
      </c>
      <c r="AH152">
        <v>0</v>
      </c>
      <c r="AI152">
        <v>4</v>
      </c>
      <c r="AJ152">
        <v>3</v>
      </c>
      <c r="AK152">
        <v>6</v>
      </c>
      <c r="AL152">
        <v>-6</v>
      </c>
      <c r="AM152">
        <v>8.64</v>
      </c>
      <c r="AN152">
        <v>0.41571772253408179</v>
      </c>
      <c r="AO152">
        <v>67.77</v>
      </c>
      <c r="AP152">
        <v>23.15</v>
      </c>
      <c r="AQ152">
        <v>1.5</v>
      </c>
      <c r="AR152">
        <v>0</v>
      </c>
      <c r="AS152">
        <v>60.24</v>
      </c>
      <c r="AT152">
        <v>39.76</v>
      </c>
    </row>
    <row r="153" spans="1:53" x14ac:dyDescent="0.25">
      <c r="A153" s="1">
        <v>151</v>
      </c>
      <c r="B153" t="s">
        <v>58</v>
      </c>
      <c r="C153">
        <v>1</v>
      </c>
      <c r="D153" t="s">
        <v>57</v>
      </c>
      <c r="E153" t="s">
        <v>59</v>
      </c>
      <c r="F153" t="s">
        <v>63</v>
      </c>
      <c r="G153" t="s">
        <v>65</v>
      </c>
      <c r="H153">
        <v>1</v>
      </c>
      <c r="I153">
        <v>1</v>
      </c>
      <c r="J153">
        <v>9</v>
      </c>
      <c r="K153" t="s">
        <v>205</v>
      </c>
      <c r="L153">
        <v>27.9</v>
      </c>
      <c r="M153">
        <v>24</v>
      </c>
      <c r="N153">
        <v>5</v>
      </c>
      <c r="O153">
        <v>8</v>
      </c>
      <c r="P153">
        <v>62.5</v>
      </c>
      <c r="Q153">
        <v>2</v>
      </c>
      <c r="R153">
        <v>4</v>
      </c>
      <c r="S153">
        <v>50</v>
      </c>
      <c r="T153">
        <v>7</v>
      </c>
      <c r="U153">
        <v>12</v>
      </c>
      <c r="V153">
        <v>58.3</v>
      </c>
      <c r="W153">
        <v>8</v>
      </c>
      <c r="X153">
        <v>10</v>
      </c>
      <c r="Y153">
        <v>80</v>
      </c>
      <c r="Z153">
        <v>2</v>
      </c>
      <c r="AA153">
        <v>1</v>
      </c>
      <c r="AB153">
        <v>3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4</v>
      </c>
      <c r="AJ153">
        <v>6</v>
      </c>
      <c r="AK153">
        <v>21</v>
      </c>
      <c r="AL153">
        <v>9</v>
      </c>
      <c r="AM153">
        <v>17.399999999999999</v>
      </c>
      <c r="AN153">
        <v>0.62365591397849462</v>
      </c>
      <c r="AO153">
        <v>73.17</v>
      </c>
      <c r="AP153">
        <v>5.75</v>
      </c>
      <c r="AQ153">
        <v>0.66666666666666663</v>
      </c>
      <c r="AR153">
        <v>48.78</v>
      </c>
      <c r="AS153">
        <v>24.39</v>
      </c>
      <c r="AT153">
        <v>26.83</v>
      </c>
    </row>
    <row r="154" spans="1:53" x14ac:dyDescent="0.25">
      <c r="A154" s="1">
        <v>152</v>
      </c>
      <c r="B154" t="s">
        <v>58</v>
      </c>
      <c r="C154">
        <v>1</v>
      </c>
      <c r="D154" t="s">
        <v>57</v>
      </c>
      <c r="E154" t="s">
        <v>59</v>
      </c>
      <c r="F154" t="s">
        <v>63</v>
      </c>
      <c r="G154" t="s">
        <v>65</v>
      </c>
      <c r="H154">
        <v>1</v>
      </c>
      <c r="I154">
        <v>0</v>
      </c>
      <c r="J154">
        <v>13</v>
      </c>
      <c r="K154" t="s">
        <v>206</v>
      </c>
      <c r="L154">
        <v>21.31666666666667</v>
      </c>
      <c r="M154">
        <v>4</v>
      </c>
      <c r="N154">
        <v>1</v>
      </c>
      <c r="O154">
        <v>2</v>
      </c>
      <c r="P154">
        <v>50</v>
      </c>
      <c r="Q154">
        <v>0</v>
      </c>
      <c r="R154">
        <v>0</v>
      </c>
      <c r="S154">
        <v>0</v>
      </c>
      <c r="T154">
        <v>1</v>
      </c>
      <c r="U154">
        <v>2</v>
      </c>
      <c r="V154">
        <v>50</v>
      </c>
      <c r="W154">
        <v>2</v>
      </c>
      <c r="X154">
        <v>4</v>
      </c>
      <c r="Y154">
        <v>50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4</v>
      </c>
      <c r="AJ154">
        <v>5</v>
      </c>
      <c r="AK154">
        <v>3</v>
      </c>
      <c r="AL154">
        <v>4</v>
      </c>
      <c r="AM154">
        <v>3.76</v>
      </c>
      <c r="AN154">
        <v>0.17638780297107121</v>
      </c>
      <c r="AO154">
        <v>53.19</v>
      </c>
      <c r="AP154">
        <v>0</v>
      </c>
      <c r="AQ154">
        <v>1</v>
      </c>
      <c r="AR154">
        <v>53.19</v>
      </c>
      <c r="AS154">
        <v>0</v>
      </c>
      <c r="AT154">
        <v>46.81</v>
      </c>
    </row>
    <row r="155" spans="1:53" x14ac:dyDescent="0.25">
      <c r="A155" s="1">
        <v>153</v>
      </c>
      <c r="B155" t="s">
        <v>58</v>
      </c>
      <c r="C155">
        <v>1</v>
      </c>
      <c r="D155" t="s">
        <v>57</v>
      </c>
      <c r="E155" t="s">
        <v>59</v>
      </c>
      <c r="F155" t="s">
        <v>63</v>
      </c>
      <c r="G155" t="s">
        <v>65</v>
      </c>
      <c r="H155">
        <v>1</v>
      </c>
      <c r="I155">
        <v>1</v>
      </c>
      <c r="J155">
        <v>22</v>
      </c>
      <c r="K155" t="s">
        <v>207</v>
      </c>
      <c r="L155">
        <v>32.25</v>
      </c>
      <c r="M155">
        <v>10</v>
      </c>
      <c r="N155">
        <v>2</v>
      </c>
      <c r="O155">
        <v>3</v>
      </c>
      <c r="P155">
        <v>66.7</v>
      </c>
      <c r="Q155">
        <v>1</v>
      </c>
      <c r="R155">
        <v>2</v>
      </c>
      <c r="S155">
        <v>50</v>
      </c>
      <c r="T155">
        <v>3</v>
      </c>
      <c r="U155">
        <v>5</v>
      </c>
      <c r="V155">
        <v>60</v>
      </c>
      <c r="W155">
        <v>3</v>
      </c>
      <c r="X155">
        <v>9</v>
      </c>
      <c r="Y155">
        <v>33.299999999999997</v>
      </c>
      <c r="Z155">
        <v>0</v>
      </c>
      <c r="AA155">
        <v>5</v>
      </c>
      <c r="AB155">
        <v>5</v>
      </c>
      <c r="AC155">
        <v>1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3</v>
      </c>
      <c r="AJ155">
        <v>4</v>
      </c>
      <c r="AK155">
        <v>9</v>
      </c>
      <c r="AL155">
        <v>7</v>
      </c>
      <c r="AM155">
        <v>8.9600000000000009</v>
      </c>
      <c r="AN155">
        <v>0.27782945736434111</v>
      </c>
      <c r="AO155">
        <v>55.8</v>
      </c>
      <c r="AP155">
        <v>0</v>
      </c>
      <c r="AQ155">
        <v>0.6</v>
      </c>
      <c r="AR155">
        <v>33.479999999999997</v>
      </c>
      <c r="AS155">
        <v>22.32</v>
      </c>
      <c r="AT155">
        <v>44.2</v>
      </c>
    </row>
    <row r="156" spans="1:53" x14ac:dyDescent="0.25">
      <c r="A156" s="1">
        <v>154</v>
      </c>
      <c r="B156" t="s">
        <v>58</v>
      </c>
      <c r="C156">
        <v>1</v>
      </c>
      <c r="D156" t="s">
        <v>57</v>
      </c>
      <c r="E156" t="s">
        <v>59</v>
      </c>
      <c r="F156" t="s">
        <v>63</v>
      </c>
      <c r="G156" t="s">
        <v>65</v>
      </c>
      <c r="H156">
        <v>1</v>
      </c>
      <c r="I156">
        <v>0</v>
      </c>
      <c r="K156" t="s">
        <v>77</v>
      </c>
      <c r="L156">
        <v>200</v>
      </c>
      <c r="M156">
        <v>84</v>
      </c>
      <c r="N156">
        <v>16</v>
      </c>
      <c r="O156">
        <v>34</v>
      </c>
      <c r="P156">
        <v>47.1</v>
      </c>
      <c r="Q156">
        <v>10</v>
      </c>
      <c r="R156">
        <v>21</v>
      </c>
      <c r="S156">
        <v>47.6</v>
      </c>
      <c r="T156">
        <v>26</v>
      </c>
      <c r="U156">
        <v>55</v>
      </c>
      <c r="V156">
        <v>47.3</v>
      </c>
      <c r="W156">
        <v>22</v>
      </c>
      <c r="X156">
        <v>33</v>
      </c>
      <c r="Y156">
        <v>66.7</v>
      </c>
      <c r="Z156">
        <v>11</v>
      </c>
      <c r="AA156">
        <v>15</v>
      </c>
      <c r="AB156">
        <v>26</v>
      </c>
      <c r="AC156">
        <v>7</v>
      </c>
      <c r="AD156">
        <v>9</v>
      </c>
      <c r="AE156">
        <v>11</v>
      </c>
      <c r="AF156">
        <v>0</v>
      </c>
      <c r="AG156">
        <v>1</v>
      </c>
      <c r="AH156">
        <v>0</v>
      </c>
      <c r="AI156">
        <v>24</v>
      </c>
      <c r="AJ156">
        <v>25</v>
      </c>
      <c r="AK156">
        <v>76</v>
      </c>
      <c r="AM156">
        <v>80.52</v>
      </c>
      <c r="AN156">
        <v>0.40260000000000001</v>
      </c>
      <c r="AO156">
        <v>60.41</v>
      </c>
      <c r="AP156">
        <v>13.66</v>
      </c>
      <c r="AQ156">
        <v>0.4</v>
      </c>
      <c r="AR156">
        <v>48.91</v>
      </c>
      <c r="AS156">
        <v>30.21</v>
      </c>
      <c r="AT156">
        <v>20.89</v>
      </c>
    </row>
    <row r="157" spans="1:53" x14ac:dyDescent="0.25">
      <c r="BA157" t="s">
        <v>212</v>
      </c>
    </row>
  </sheetData>
  <autoFilter ref="A1:BA156" xr:uid="{00000000-0001-0000-0000-000000000000}"/>
  <conditionalFormatting sqref="AM14:AM2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4:AU2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4:AV2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4:AW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65C46-1CA1-4066-B040-2874C6AEEE61}">
  <dimension ref="A1:AJ16"/>
  <sheetViews>
    <sheetView zoomScale="85" zoomScaleNormal="85" workbookViewId="0">
      <selection activeCell="F19" sqref="F19"/>
    </sheetView>
  </sheetViews>
  <sheetFormatPr baseColWidth="10" defaultRowHeight="15" x14ac:dyDescent="0.25"/>
  <cols>
    <col min="2" max="2" width="24.85546875" customWidth="1"/>
    <col min="3" max="3" width="11.85546875" bestFit="1" customWidth="1"/>
  </cols>
  <sheetData>
    <row r="1" spans="1:36" x14ac:dyDescent="0.25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42</v>
      </c>
      <c r="AI1" s="1" t="s">
        <v>43</v>
      </c>
      <c r="AJ1" s="1" t="s">
        <v>44</v>
      </c>
    </row>
    <row r="2" spans="1:36" x14ac:dyDescent="0.25">
      <c r="A2" s="1">
        <v>11</v>
      </c>
      <c r="B2" t="s">
        <v>77</v>
      </c>
      <c r="C2">
        <v>200</v>
      </c>
      <c r="D2">
        <v>56</v>
      </c>
      <c r="E2">
        <v>16</v>
      </c>
      <c r="F2">
        <v>35</v>
      </c>
      <c r="G2">
        <v>45.7</v>
      </c>
      <c r="H2">
        <v>4</v>
      </c>
      <c r="I2">
        <v>22</v>
      </c>
      <c r="J2">
        <v>18.2</v>
      </c>
      <c r="K2">
        <v>20</v>
      </c>
      <c r="L2">
        <v>57</v>
      </c>
      <c r="M2">
        <v>35.1</v>
      </c>
      <c r="N2">
        <v>12</v>
      </c>
      <c r="O2">
        <v>23</v>
      </c>
      <c r="P2">
        <v>52.2</v>
      </c>
      <c r="Q2">
        <v>11</v>
      </c>
      <c r="R2">
        <v>30</v>
      </c>
      <c r="S2">
        <v>41</v>
      </c>
      <c r="T2">
        <v>14</v>
      </c>
      <c r="U2">
        <v>5</v>
      </c>
      <c r="V2">
        <v>16</v>
      </c>
      <c r="W2">
        <v>1</v>
      </c>
      <c r="X2">
        <v>3</v>
      </c>
      <c r="Y2">
        <v>0</v>
      </c>
      <c r="Z2">
        <v>25</v>
      </c>
      <c r="AA2">
        <v>21</v>
      </c>
      <c r="AB2">
        <v>49</v>
      </c>
      <c r="AD2">
        <v>83.12</v>
      </c>
      <c r="AE2">
        <v>0.41560000000000002</v>
      </c>
      <c r="AF2">
        <v>41.72</v>
      </c>
      <c r="AG2">
        <v>19.25</v>
      </c>
      <c r="AH2">
        <v>52.15</v>
      </c>
      <c r="AI2">
        <v>32.78</v>
      </c>
      <c r="AJ2">
        <v>15.08</v>
      </c>
    </row>
    <row r="3" spans="1:36" s="6" customFormat="1" ht="21" x14ac:dyDescent="0.35">
      <c r="A3" s="5">
        <v>23</v>
      </c>
      <c r="B3" s="6" t="s">
        <v>77</v>
      </c>
      <c r="C3" s="6">
        <v>200</v>
      </c>
      <c r="D3" s="7">
        <v>48</v>
      </c>
      <c r="E3" s="7">
        <v>15</v>
      </c>
      <c r="F3" s="7">
        <v>35</v>
      </c>
      <c r="G3" s="7">
        <v>42.9</v>
      </c>
      <c r="H3" s="7">
        <v>2</v>
      </c>
      <c r="I3" s="7">
        <v>19</v>
      </c>
      <c r="J3" s="7">
        <v>10.5</v>
      </c>
      <c r="K3" s="7">
        <v>17</v>
      </c>
      <c r="L3" s="7">
        <v>54</v>
      </c>
      <c r="M3" s="7">
        <v>31.5</v>
      </c>
      <c r="N3" s="7">
        <v>12</v>
      </c>
      <c r="O3" s="8">
        <v>29</v>
      </c>
      <c r="P3" s="7">
        <v>41.4</v>
      </c>
      <c r="Q3" s="9">
        <v>11</v>
      </c>
      <c r="R3" s="9">
        <v>24</v>
      </c>
      <c r="S3" s="9">
        <v>35</v>
      </c>
      <c r="T3" s="7">
        <v>10</v>
      </c>
      <c r="U3" s="9">
        <v>9</v>
      </c>
      <c r="V3" s="8">
        <v>13</v>
      </c>
      <c r="W3" s="8">
        <v>3</v>
      </c>
      <c r="X3" s="9">
        <v>1</v>
      </c>
      <c r="Y3" s="6">
        <v>0</v>
      </c>
      <c r="Z3" s="9">
        <v>21</v>
      </c>
      <c r="AA3" s="8">
        <v>25</v>
      </c>
      <c r="AB3" s="7">
        <v>42</v>
      </c>
      <c r="AD3" s="6">
        <v>79.760000000000005</v>
      </c>
      <c r="AE3" s="10">
        <v>0.39879999999999999</v>
      </c>
      <c r="AF3" s="6">
        <v>35.950000000000003</v>
      </c>
      <c r="AG3" s="6">
        <v>16.3</v>
      </c>
      <c r="AH3" s="6">
        <v>52.43</v>
      </c>
      <c r="AI3" s="6">
        <v>28.46</v>
      </c>
      <c r="AJ3" s="6">
        <v>19.11</v>
      </c>
    </row>
    <row r="4" spans="1:36" x14ac:dyDescent="0.25">
      <c r="A4" s="1">
        <v>36</v>
      </c>
      <c r="B4" t="s">
        <v>77</v>
      </c>
      <c r="C4">
        <v>200</v>
      </c>
      <c r="D4">
        <v>83</v>
      </c>
      <c r="E4">
        <v>22</v>
      </c>
      <c r="F4">
        <v>41</v>
      </c>
      <c r="G4">
        <v>53.7</v>
      </c>
      <c r="H4">
        <v>9</v>
      </c>
      <c r="I4">
        <v>25</v>
      </c>
      <c r="J4">
        <v>36</v>
      </c>
      <c r="K4">
        <v>31</v>
      </c>
      <c r="L4">
        <v>66</v>
      </c>
      <c r="M4">
        <v>47</v>
      </c>
      <c r="N4">
        <v>12</v>
      </c>
      <c r="O4">
        <v>24</v>
      </c>
      <c r="P4">
        <v>50</v>
      </c>
      <c r="Q4">
        <v>12</v>
      </c>
      <c r="R4">
        <v>28</v>
      </c>
      <c r="S4">
        <v>40</v>
      </c>
      <c r="T4">
        <v>21</v>
      </c>
      <c r="U4">
        <v>11</v>
      </c>
      <c r="V4">
        <v>21</v>
      </c>
      <c r="W4">
        <v>3</v>
      </c>
      <c r="X4">
        <v>1</v>
      </c>
      <c r="Y4">
        <v>0</v>
      </c>
      <c r="Z4">
        <v>16</v>
      </c>
      <c r="AA4">
        <v>18</v>
      </c>
      <c r="AB4">
        <v>92</v>
      </c>
      <c r="AD4">
        <v>97.56</v>
      </c>
      <c r="AE4">
        <v>0.48780000000000001</v>
      </c>
      <c r="AF4">
        <v>54.21</v>
      </c>
      <c r="AG4">
        <v>21.53</v>
      </c>
      <c r="AH4">
        <v>53.55</v>
      </c>
      <c r="AI4">
        <v>32.65</v>
      </c>
      <c r="AJ4">
        <v>13.79</v>
      </c>
    </row>
    <row r="5" spans="1:36" x14ac:dyDescent="0.25">
      <c r="A5" s="1">
        <v>46</v>
      </c>
      <c r="B5" t="s">
        <v>77</v>
      </c>
      <c r="C5">
        <v>200</v>
      </c>
      <c r="D5">
        <v>58</v>
      </c>
      <c r="E5">
        <v>19</v>
      </c>
      <c r="F5">
        <v>46</v>
      </c>
      <c r="G5">
        <v>41.3</v>
      </c>
      <c r="H5">
        <v>4</v>
      </c>
      <c r="I5">
        <v>20</v>
      </c>
      <c r="J5">
        <v>20</v>
      </c>
      <c r="K5">
        <v>23</v>
      </c>
      <c r="L5">
        <v>66</v>
      </c>
      <c r="M5">
        <v>34.799999999999997</v>
      </c>
      <c r="N5">
        <v>8</v>
      </c>
      <c r="O5">
        <v>10</v>
      </c>
      <c r="P5">
        <v>80</v>
      </c>
      <c r="Q5">
        <v>7</v>
      </c>
      <c r="R5">
        <v>22</v>
      </c>
      <c r="S5">
        <v>29</v>
      </c>
      <c r="T5">
        <v>11</v>
      </c>
      <c r="U5">
        <v>14</v>
      </c>
      <c r="V5">
        <v>19</v>
      </c>
      <c r="W5">
        <v>1</v>
      </c>
      <c r="X5">
        <v>3</v>
      </c>
      <c r="Y5">
        <v>0</v>
      </c>
      <c r="Z5">
        <v>19</v>
      </c>
      <c r="AA5">
        <v>16</v>
      </c>
      <c r="AB5">
        <v>46</v>
      </c>
      <c r="AD5">
        <v>89.4</v>
      </c>
      <c r="AE5">
        <v>0.44700000000000001</v>
      </c>
      <c r="AF5">
        <v>41.19</v>
      </c>
      <c r="AG5">
        <v>21.25</v>
      </c>
      <c r="AH5">
        <v>65.34</v>
      </c>
      <c r="AI5">
        <v>28.41</v>
      </c>
      <c r="AJ5">
        <v>6.25</v>
      </c>
    </row>
    <row r="6" spans="1:36" x14ac:dyDescent="0.25">
      <c r="A6" s="1">
        <v>58</v>
      </c>
      <c r="B6" t="s">
        <v>77</v>
      </c>
      <c r="C6">
        <v>200</v>
      </c>
      <c r="D6">
        <v>61</v>
      </c>
      <c r="E6">
        <v>21</v>
      </c>
      <c r="F6">
        <v>52</v>
      </c>
      <c r="G6">
        <v>40.4</v>
      </c>
      <c r="H6">
        <v>2</v>
      </c>
      <c r="I6">
        <v>21</v>
      </c>
      <c r="J6">
        <v>9.5</v>
      </c>
      <c r="K6">
        <v>23</v>
      </c>
      <c r="L6">
        <v>73</v>
      </c>
      <c r="M6">
        <v>31.5</v>
      </c>
      <c r="N6">
        <v>13</v>
      </c>
      <c r="O6">
        <v>26</v>
      </c>
      <c r="P6">
        <v>50</v>
      </c>
      <c r="Q6">
        <v>14</v>
      </c>
      <c r="R6">
        <v>29</v>
      </c>
      <c r="S6">
        <v>43</v>
      </c>
      <c r="T6">
        <v>8</v>
      </c>
      <c r="U6">
        <v>9</v>
      </c>
      <c r="V6">
        <v>12</v>
      </c>
      <c r="W6">
        <v>5</v>
      </c>
      <c r="X6">
        <v>1</v>
      </c>
      <c r="Y6">
        <v>0</v>
      </c>
      <c r="Z6">
        <v>18</v>
      </c>
      <c r="AA6">
        <v>25</v>
      </c>
      <c r="AB6">
        <v>58</v>
      </c>
      <c r="AD6">
        <v>96.44</v>
      </c>
      <c r="AE6">
        <v>0.48220000000000002</v>
      </c>
      <c r="AF6">
        <v>36.119999999999997</v>
      </c>
      <c r="AG6">
        <v>12.44</v>
      </c>
      <c r="AH6">
        <v>61.58</v>
      </c>
      <c r="AI6">
        <v>24.87</v>
      </c>
      <c r="AJ6">
        <v>13.55</v>
      </c>
    </row>
    <row r="7" spans="1:36" x14ac:dyDescent="0.25">
      <c r="A7" s="1">
        <v>70</v>
      </c>
      <c r="B7" t="s">
        <v>77</v>
      </c>
      <c r="C7">
        <v>200</v>
      </c>
      <c r="D7">
        <v>52</v>
      </c>
      <c r="E7">
        <v>14</v>
      </c>
      <c r="F7">
        <v>42</v>
      </c>
      <c r="G7">
        <v>33.299999999999997</v>
      </c>
      <c r="H7">
        <v>5</v>
      </c>
      <c r="I7">
        <v>20</v>
      </c>
      <c r="J7">
        <v>25</v>
      </c>
      <c r="K7">
        <v>19</v>
      </c>
      <c r="L7">
        <v>62</v>
      </c>
      <c r="M7">
        <v>30.6</v>
      </c>
      <c r="N7">
        <v>9</v>
      </c>
      <c r="O7">
        <v>18</v>
      </c>
      <c r="P7">
        <v>50</v>
      </c>
      <c r="Q7">
        <v>10</v>
      </c>
      <c r="R7">
        <v>29</v>
      </c>
      <c r="S7">
        <v>39</v>
      </c>
      <c r="T7">
        <v>12</v>
      </c>
      <c r="U7">
        <v>5</v>
      </c>
      <c r="V7">
        <v>17</v>
      </c>
      <c r="W7">
        <v>1</v>
      </c>
      <c r="X7">
        <v>5</v>
      </c>
      <c r="Y7">
        <v>0</v>
      </c>
      <c r="Z7">
        <v>25</v>
      </c>
      <c r="AA7">
        <v>18</v>
      </c>
      <c r="AB7">
        <v>33</v>
      </c>
      <c r="AD7">
        <v>86.92</v>
      </c>
      <c r="AE7">
        <v>0.43459999999999999</v>
      </c>
      <c r="AF7">
        <v>37.19</v>
      </c>
      <c r="AG7">
        <v>19.559999999999999</v>
      </c>
      <c r="AH7">
        <v>60.07</v>
      </c>
      <c r="AI7">
        <v>28.6</v>
      </c>
      <c r="AJ7">
        <v>11.33</v>
      </c>
    </row>
    <row r="8" spans="1:36" x14ac:dyDescent="0.25">
      <c r="A8" s="1">
        <v>81</v>
      </c>
      <c r="B8" t="s">
        <v>77</v>
      </c>
      <c r="C8">
        <v>200</v>
      </c>
      <c r="D8">
        <v>77</v>
      </c>
      <c r="E8">
        <v>23</v>
      </c>
      <c r="F8">
        <v>45</v>
      </c>
      <c r="G8">
        <v>51.1</v>
      </c>
      <c r="H8">
        <v>5</v>
      </c>
      <c r="I8">
        <v>23</v>
      </c>
      <c r="J8">
        <v>21.7</v>
      </c>
      <c r="K8">
        <v>28</v>
      </c>
      <c r="L8">
        <v>68</v>
      </c>
      <c r="M8">
        <v>41.2</v>
      </c>
      <c r="N8">
        <v>16</v>
      </c>
      <c r="O8">
        <v>20</v>
      </c>
      <c r="P8">
        <v>80</v>
      </c>
      <c r="Q8">
        <v>11</v>
      </c>
      <c r="R8">
        <v>24</v>
      </c>
      <c r="S8">
        <v>35</v>
      </c>
      <c r="T8">
        <v>12</v>
      </c>
      <c r="U8">
        <v>13</v>
      </c>
      <c r="V8">
        <v>11</v>
      </c>
      <c r="W8">
        <v>2</v>
      </c>
      <c r="X8">
        <v>0</v>
      </c>
      <c r="Y8">
        <v>0</v>
      </c>
      <c r="Z8">
        <v>19</v>
      </c>
      <c r="AA8">
        <v>24</v>
      </c>
      <c r="AB8">
        <v>89</v>
      </c>
      <c r="AD8">
        <v>87.8</v>
      </c>
      <c r="AE8">
        <v>0.439</v>
      </c>
      <c r="AF8">
        <v>50.13</v>
      </c>
      <c r="AG8">
        <v>12.53</v>
      </c>
      <c r="AH8">
        <v>58.59</v>
      </c>
      <c r="AI8">
        <v>29.95</v>
      </c>
      <c r="AJ8">
        <v>11.46</v>
      </c>
    </row>
    <row r="9" spans="1:36" x14ac:dyDescent="0.25">
      <c r="A9" s="1">
        <v>92</v>
      </c>
      <c r="B9" t="s">
        <v>77</v>
      </c>
      <c r="C9">
        <v>200</v>
      </c>
      <c r="D9">
        <v>47</v>
      </c>
      <c r="E9">
        <v>13</v>
      </c>
      <c r="F9">
        <v>35</v>
      </c>
      <c r="G9">
        <v>37.1</v>
      </c>
      <c r="H9">
        <v>4</v>
      </c>
      <c r="I9">
        <v>24</v>
      </c>
      <c r="J9">
        <v>16.7</v>
      </c>
      <c r="K9">
        <v>17</v>
      </c>
      <c r="L9">
        <v>59</v>
      </c>
      <c r="M9">
        <v>28.8</v>
      </c>
      <c r="N9">
        <v>9</v>
      </c>
      <c r="O9">
        <v>18</v>
      </c>
      <c r="P9">
        <v>50</v>
      </c>
      <c r="Q9">
        <v>9</v>
      </c>
      <c r="R9">
        <v>25</v>
      </c>
      <c r="S9">
        <v>34</v>
      </c>
      <c r="T9">
        <v>6</v>
      </c>
      <c r="U9">
        <v>7</v>
      </c>
      <c r="V9">
        <v>19</v>
      </c>
      <c r="W9">
        <v>0</v>
      </c>
      <c r="X9">
        <v>2</v>
      </c>
      <c r="Y9">
        <v>0</v>
      </c>
      <c r="Z9">
        <v>24</v>
      </c>
      <c r="AA9">
        <v>19</v>
      </c>
      <c r="AB9">
        <v>19</v>
      </c>
      <c r="AD9">
        <v>85.92</v>
      </c>
      <c r="AE9">
        <v>0.42959999999999998</v>
      </c>
      <c r="AF9">
        <v>35.119999999999997</v>
      </c>
      <c r="AG9">
        <v>22.11</v>
      </c>
      <c r="AH9">
        <v>52.3</v>
      </c>
      <c r="AI9">
        <v>35.86</v>
      </c>
      <c r="AJ9">
        <v>11.84</v>
      </c>
    </row>
    <row r="10" spans="1:36" x14ac:dyDescent="0.25">
      <c r="A10" s="1">
        <v>104</v>
      </c>
      <c r="B10" t="s">
        <v>77</v>
      </c>
      <c r="C10">
        <v>200</v>
      </c>
      <c r="D10">
        <v>80</v>
      </c>
      <c r="E10">
        <v>14</v>
      </c>
      <c r="F10">
        <v>33</v>
      </c>
      <c r="G10">
        <v>42.4</v>
      </c>
      <c r="H10">
        <v>11</v>
      </c>
      <c r="I10">
        <v>30</v>
      </c>
      <c r="J10">
        <v>36.700000000000003</v>
      </c>
      <c r="K10">
        <v>25</v>
      </c>
      <c r="L10">
        <v>63</v>
      </c>
      <c r="M10">
        <v>39.700000000000003</v>
      </c>
      <c r="N10">
        <v>19</v>
      </c>
      <c r="O10">
        <v>26</v>
      </c>
      <c r="P10">
        <v>73.099999999999994</v>
      </c>
      <c r="Q10">
        <v>16</v>
      </c>
      <c r="R10">
        <v>30</v>
      </c>
      <c r="S10">
        <v>46</v>
      </c>
      <c r="T10">
        <v>13</v>
      </c>
      <c r="U10">
        <v>8</v>
      </c>
      <c r="V10">
        <v>18</v>
      </c>
      <c r="W10">
        <v>2</v>
      </c>
      <c r="X10">
        <v>3</v>
      </c>
      <c r="Y10">
        <v>0</v>
      </c>
      <c r="Z10">
        <v>19</v>
      </c>
      <c r="AA10">
        <v>25</v>
      </c>
      <c r="AB10">
        <v>92</v>
      </c>
      <c r="AD10">
        <v>92.44</v>
      </c>
      <c r="AE10">
        <v>0.4622</v>
      </c>
      <c r="AF10">
        <v>53.73</v>
      </c>
      <c r="AG10">
        <v>19.47</v>
      </c>
      <c r="AH10">
        <v>44.33</v>
      </c>
      <c r="AI10">
        <v>40.299999999999997</v>
      </c>
      <c r="AJ10">
        <v>15.37</v>
      </c>
    </row>
    <row r="11" spans="1:36" x14ac:dyDescent="0.25">
      <c r="A11" s="1">
        <v>115</v>
      </c>
      <c r="B11" t="s">
        <v>77</v>
      </c>
      <c r="C11">
        <v>200</v>
      </c>
      <c r="D11">
        <v>66</v>
      </c>
      <c r="E11">
        <v>18</v>
      </c>
      <c r="F11">
        <v>38</v>
      </c>
      <c r="G11">
        <v>47.4</v>
      </c>
      <c r="H11">
        <v>7</v>
      </c>
      <c r="I11">
        <v>24</v>
      </c>
      <c r="J11">
        <v>29.2</v>
      </c>
      <c r="K11">
        <v>25</v>
      </c>
      <c r="L11">
        <v>62</v>
      </c>
      <c r="M11">
        <v>40.299999999999997</v>
      </c>
      <c r="N11">
        <v>9</v>
      </c>
      <c r="O11">
        <v>16</v>
      </c>
      <c r="P11">
        <v>56.2</v>
      </c>
      <c r="Q11">
        <v>5</v>
      </c>
      <c r="R11">
        <v>20</v>
      </c>
      <c r="S11">
        <v>25</v>
      </c>
      <c r="T11">
        <v>16</v>
      </c>
      <c r="U11">
        <v>10</v>
      </c>
      <c r="V11">
        <v>12</v>
      </c>
      <c r="W11">
        <v>3</v>
      </c>
      <c r="X11">
        <v>2</v>
      </c>
      <c r="Y11">
        <v>0</v>
      </c>
      <c r="Z11">
        <v>25</v>
      </c>
      <c r="AA11">
        <v>19</v>
      </c>
      <c r="AB11">
        <v>58</v>
      </c>
      <c r="AD11">
        <v>81.040000000000006</v>
      </c>
      <c r="AE11">
        <v>0.4052</v>
      </c>
      <c r="AF11">
        <v>47.8</v>
      </c>
      <c r="AG11">
        <v>14.81</v>
      </c>
      <c r="AH11">
        <v>55.04</v>
      </c>
      <c r="AI11">
        <v>34.76</v>
      </c>
      <c r="AJ11">
        <v>10.199999999999999</v>
      </c>
    </row>
    <row r="12" spans="1:36" x14ac:dyDescent="0.25">
      <c r="A12" s="1">
        <v>124</v>
      </c>
      <c r="B12" t="s">
        <v>77</v>
      </c>
      <c r="C12">
        <v>200</v>
      </c>
      <c r="D12">
        <v>75</v>
      </c>
      <c r="E12">
        <v>23</v>
      </c>
      <c r="F12">
        <v>38</v>
      </c>
      <c r="G12">
        <v>60.5</v>
      </c>
      <c r="H12">
        <v>4</v>
      </c>
      <c r="I12">
        <v>19</v>
      </c>
      <c r="J12">
        <v>21.1</v>
      </c>
      <c r="K12">
        <v>27</v>
      </c>
      <c r="L12">
        <v>57</v>
      </c>
      <c r="M12">
        <v>47.4</v>
      </c>
      <c r="N12">
        <v>17</v>
      </c>
      <c r="O12">
        <v>29</v>
      </c>
      <c r="P12">
        <v>58.6</v>
      </c>
      <c r="Q12">
        <v>13</v>
      </c>
      <c r="R12">
        <v>23</v>
      </c>
      <c r="S12">
        <v>36</v>
      </c>
      <c r="T12">
        <v>21</v>
      </c>
      <c r="U12">
        <v>17</v>
      </c>
      <c r="V12">
        <v>24</v>
      </c>
      <c r="W12">
        <v>1</v>
      </c>
      <c r="X12">
        <v>1</v>
      </c>
      <c r="Y12">
        <v>0</v>
      </c>
      <c r="Z12">
        <v>23</v>
      </c>
      <c r="AA12">
        <v>24</v>
      </c>
      <c r="AB12">
        <v>85</v>
      </c>
      <c r="AD12">
        <v>93.76</v>
      </c>
      <c r="AE12">
        <v>0.46880000000000011</v>
      </c>
      <c r="AF12">
        <v>53.76</v>
      </c>
      <c r="AG12">
        <v>25.6</v>
      </c>
      <c r="AH12">
        <v>54.47</v>
      </c>
      <c r="AI12">
        <v>27.24</v>
      </c>
      <c r="AJ12">
        <v>18.29</v>
      </c>
    </row>
    <row r="13" spans="1:36" x14ac:dyDescent="0.25">
      <c r="A13" s="1">
        <v>133</v>
      </c>
      <c r="B13" t="s">
        <v>77</v>
      </c>
      <c r="C13">
        <v>200</v>
      </c>
      <c r="D13">
        <v>79</v>
      </c>
      <c r="E13">
        <v>14</v>
      </c>
      <c r="F13">
        <v>33</v>
      </c>
      <c r="G13">
        <v>42.4</v>
      </c>
      <c r="H13">
        <v>11</v>
      </c>
      <c r="I13">
        <v>30</v>
      </c>
      <c r="J13">
        <v>36.700000000000003</v>
      </c>
      <c r="K13">
        <v>25</v>
      </c>
      <c r="L13">
        <v>63</v>
      </c>
      <c r="M13">
        <v>39.700000000000003</v>
      </c>
      <c r="N13">
        <v>18</v>
      </c>
      <c r="O13">
        <v>28</v>
      </c>
      <c r="P13">
        <v>64.3</v>
      </c>
      <c r="Q13">
        <v>16</v>
      </c>
      <c r="R13">
        <v>20</v>
      </c>
      <c r="S13">
        <v>36</v>
      </c>
      <c r="T13">
        <v>17</v>
      </c>
      <c r="U13">
        <v>12</v>
      </c>
      <c r="V13">
        <v>23</v>
      </c>
      <c r="W13">
        <v>1</v>
      </c>
      <c r="X13">
        <v>1</v>
      </c>
      <c r="Y13">
        <v>0</v>
      </c>
      <c r="Z13">
        <v>24</v>
      </c>
      <c r="AA13">
        <v>21</v>
      </c>
      <c r="AB13">
        <v>71</v>
      </c>
      <c r="AD13">
        <v>98.32</v>
      </c>
      <c r="AE13">
        <v>0.49159999999999998</v>
      </c>
      <c r="AF13">
        <v>52.44</v>
      </c>
      <c r="AG13">
        <v>23.39</v>
      </c>
      <c r="AH13">
        <v>43.81</v>
      </c>
      <c r="AI13">
        <v>39.83</v>
      </c>
      <c r="AJ13">
        <v>16.36</v>
      </c>
    </row>
    <row r="14" spans="1:36" x14ac:dyDescent="0.25">
      <c r="A14" s="1">
        <v>145</v>
      </c>
      <c r="B14" t="s">
        <v>77</v>
      </c>
      <c r="C14">
        <v>200</v>
      </c>
      <c r="D14">
        <v>75</v>
      </c>
      <c r="E14">
        <v>20</v>
      </c>
      <c r="F14">
        <v>33</v>
      </c>
      <c r="G14">
        <v>60.6</v>
      </c>
      <c r="H14">
        <v>8</v>
      </c>
      <c r="I14">
        <v>20</v>
      </c>
      <c r="J14">
        <v>40</v>
      </c>
      <c r="K14">
        <v>28</v>
      </c>
      <c r="L14">
        <v>53</v>
      </c>
      <c r="M14">
        <v>52.8</v>
      </c>
      <c r="N14">
        <v>11</v>
      </c>
      <c r="O14">
        <v>19</v>
      </c>
      <c r="P14">
        <v>57.9</v>
      </c>
      <c r="Q14">
        <v>11</v>
      </c>
      <c r="R14">
        <v>22</v>
      </c>
      <c r="S14">
        <v>33</v>
      </c>
      <c r="T14">
        <v>13</v>
      </c>
      <c r="U14">
        <v>5</v>
      </c>
      <c r="V14">
        <v>18</v>
      </c>
      <c r="W14">
        <v>1</v>
      </c>
      <c r="X14">
        <v>0</v>
      </c>
      <c r="Y14">
        <v>0</v>
      </c>
      <c r="Z14">
        <v>25</v>
      </c>
      <c r="AA14">
        <v>24</v>
      </c>
      <c r="AB14">
        <v>75</v>
      </c>
      <c r="AD14">
        <v>79.36</v>
      </c>
      <c r="AE14">
        <v>0.39679999999999999</v>
      </c>
      <c r="AF14">
        <v>61.11</v>
      </c>
      <c r="AG14">
        <v>22.68</v>
      </c>
      <c r="AH14">
        <v>53.78</v>
      </c>
      <c r="AI14">
        <v>32.590000000000003</v>
      </c>
      <c r="AJ14">
        <v>13.62</v>
      </c>
    </row>
    <row r="15" spans="1:36" x14ac:dyDescent="0.25">
      <c r="A15" s="1">
        <v>154</v>
      </c>
      <c r="B15" t="s">
        <v>77</v>
      </c>
      <c r="C15">
        <v>200</v>
      </c>
      <c r="D15">
        <v>84</v>
      </c>
      <c r="E15">
        <v>16</v>
      </c>
      <c r="F15">
        <v>34</v>
      </c>
      <c r="G15">
        <v>47.1</v>
      </c>
      <c r="H15">
        <v>10</v>
      </c>
      <c r="I15">
        <v>21</v>
      </c>
      <c r="J15">
        <v>47.6</v>
      </c>
      <c r="K15">
        <v>26</v>
      </c>
      <c r="L15">
        <v>55</v>
      </c>
      <c r="M15">
        <v>47.3</v>
      </c>
      <c r="N15">
        <v>22</v>
      </c>
      <c r="O15">
        <v>33</v>
      </c>
      <c r="P15">
        <v>66.7</v>
      </c>
      <c r="Q15">
        <v>11</v>
      </c>
      <c r="R15">
        <v>15</v>
      </c>
      <c r="S15">
        <v>26</v>
      </c>
      <c r="T15">
        <v>7</v>
      </c>
      <c r="U15">
        <v>9</v>
      </c>
      <c r="V15">
        <v>11</v>
      </c>
      <c r="W15">
        <v>0</v>
      </c>
      <c r="X15">
        <v>1</v>
      </c>
      <c r="Y15">
        <v>0</v>
      </c>
      <c r="Z15">
        <v>24</v>
      </c>
      <c r="AA15">
        <v>25</v>
      </c>
      <c r="AB15">
        <v>76</v>
      </c>
      <c r="AD15">
        <v>80.52</v>
      </c>
      <c r="AE15">
        <v>0.40260000000000001</v>
      </c>
      <c r="AF15">
        <v>60.41</v>
      </c>
      <c r="AG15">
        <v>13.66</v>
      </c>
      <c r="AH15">
        <v>48.91</v>
      </c>
      <c r="AI15">
        <v>30.21</v>
      </c>
      <c r="AJ15">
        <v>20.89</v>
      </c>
    </row>
    <row r="16" spans="1:36" s="11" customFormat="1" ht="23.25" x14ac:dyDescent="0.35">
      <c r="B16" s="11" t="s">
        <v>213</v>
      </c>
      <c r="C16" s="11">
        <f t="shared" ref="C16:AB16" si="0">AVERAGE(C2:C15)</f>
        <v>200</v>
      </c>
      <c r="D16" s="11">
        <f t="shared" si="0"/>
        <v>67.214285714285708</v>
      </c>
      <c r="E16" s="11">
        <f t="shared" si="0"/>
        <v>17.714285714285715</v>
      </c>
      <c r="F16" s="11">
        <f t="shared" si="0"/>
        <v>38.571428571428569</v>
      </c>
      <c r="G16" s="11">
        <f t="shared" si="0"/>
        <v>46.135714285714293</v>
      </c>
      <c r="H16" s="11">
        <f t="shared" si="0"/>
        <v>6.1428571428571432</v>
      </c>
      <c r="I16" s="11">
        <f t="shared" si="0"/>
        <v>22.714285714285715</v>
      </c>
      <c r="J16" s="11">
        <f t="shared" si="0"/>
        <v>26.35</v>
      </c>
      <c r="K16" s="11">
        <f t="shared" si="0"/>
        <v>23.857142857142858</v>
      </c>
      <c r="L16" s="11">
        <f t="shared" si="0"/>
        <v>61.285714285714285</v>
      </c>
      <c r="M16" s="11">
        <f t="shared" si="0"/>
        <v>39.121428571428567</v>
      </c>
      <c r="N16" s="11">
        <f t="shared" si="0"/>
        <v>13.357142857142858</v>
      </c>
      <c r="O16" s="11">
        <f t="shared" si="0"/>
        <v>22.785714285714285</v>
      </c>
      <c r="P16" s="11">
        <f t="shared" si="0"/>
        <v>59.314285714285724</v>
      </c>
      <c r="Q16" s="11">
        <f t="shared" si="0"/>
        <v>11.214285714285714</v>
      </c>
      <c r="R16" s="11">
        <f t="shared" si="0"/>
        <v>24.357142857142858</v>
      </c>
      <c r="S16" s="11">
        <f t="shared" si="0"/>
        <v>35.571428571428569</v>
      </c>
      <c r="T16" s="11">
        <f t="shared" si="0"/>
        <v>12.928571428571429</v>
      </c>
      <c r="U16" s="11">
        <f t="shared" si="0"/>
        <v>9.5714285714285712</v>
      </c>
      <c r="V16" s="11">
        <f t="shared" si="0"/>
        <v>16.714285714285715</v>
      </c>
      <c r="W16" s="11">
        <f t="shared" si="0"/>
        <v>1.7142857142857142</v>
      </c>
      <c r="X16" s="11">
        <f t="shared" si="0"/>
        <v>1.7142857142857142</v>
      </c>
      <c r="Y16" s="11">
        <f t="shared" si="0"/>
        <v>0</v>
      </c>
      <c r="Z16" s="11">
        <f t="shared" si="0"/>
        <v>21.928571428571427</v>
      </c>
      <c r="AA16" s="11">
        <f t="shared" si="0"/>
        <v>21.714285714285715</v>
      </c>
      <c r="AB16" s="11">
        <f t="shared" si="0"/>
        <v>63.214285714285715</v>
      </c>
      <c r="AD16" s="11">
        <f t="shared" ref="AD16:AJ16" si="1">AVERAGE(AD2:AD15)</f>
        <v>88.025714285714258</v>
      </c>
      <c r="AE16" s="11">
        <f t="shared" si="1"/>
        <v>0.44012857142857137</v>
      </c>
      <c r="AF16" s="11">
        <f t="shared" si="1"/>
        <v>47.205714285714286</v>
      </c>
      <c r="AG16" s="11">
        <f t="shared" si="1"/>
        <v>18.898571428571433</v>
      </c>
      <c r="AH16" s="11">
        <f t="shared" si="1"/>
        <v>54.024999999999999</v>
      </c>
      <c r="AI16" s="11">
        <f t="shared" si="1"/>
        <v>31.893571428571423</v>
      </c>
      <c r="AJ16" s="11">
        <f t="shared" si="1"/>
        <v>14.081428571428571</v>
      </c>
    </row>
  </sheetData>
  <autoFilter ref="A1:AJ16" xr:uid="{1B165C46-1CA1-4066-B040-2874C6AEEE6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FERRER, ANNA (DIR.ECO.GES)</cp:lastModifiedBy>
  <dcterms:created xsi:type="dcterms:W3CDTF">2025-10-05T18:38:29Z</dcterms:created>
  <dcterms:modified xsi:type="dcterms:W3CDTF">2026-04-15T11:36:22Z</dcterms:modified>
</cp:coreProperties>
</file>