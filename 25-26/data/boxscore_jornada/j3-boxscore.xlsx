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boxscore_jornada/"/>
    </mc:Choice>
  </mc:AlternateContent>
  <xr:revisionPtr revIDLastSave="69" documentId="11_4BD1A2E98E930C22892C4C1775AE047F787BB6D1" xr6:coauthVersionLast="47" xr6:coauthVersionMax="47" xr10:uidLastSave="{5AE03952-AFF9-4F37-B258-984925357D68}"/>
  <bookViews>
    <workbookView xWindow="-120" yWindow="-16320" windowWidth="29040" windowHeight="1572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Sheet1!$A$1:$AT$159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2" l="1"/>
  <c r="AO2" i="2"/>
  <c r="AN3" i="2"/>
  <c r="AN2" i="2"/>
  <c r="X3" i="2"/>
  <c r="X2" i="2"/>
  <c r="U3" i="2"/>
  <c r="U2" i="2"/>
  <c r="R3" i="2"/>
  <c r="R2" i="2"/>
  <c r="O3" i="2"/>
  <c r="O2" i="2"/>
</calcChain>
</file>

<file path=xl/sharedStrings.xml><?xml version="1.0" encoding="utf-8"?>
<sst xmlns="http://schemas.openxmlformats.org/spreadsheetml/2006/main" count="1051" uniqueCount="212">
  <si>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</si>
  <si>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</si>
  <si>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</si>
  <si>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</si>
  <si>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</si>
  <si>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</si>
  <si>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</si>
  <si>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</si>
  <si>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</si>
  <si>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</si>
  <si>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</si>
  <si>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</si>
  <si>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</si>
  <si>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</si>
  <si>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</si>
  <si>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</si>
  <si>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</si>
  <si>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</si>
  <si>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</si>
  <si>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</si>
  <si>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</si>
  <si>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</si>
  <si>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</si>
  <si>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</si>
  <si>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</si>
  <si>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</si>
  <si>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</si>
  <si>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</si>
  <si>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</si>
  <si>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</si>
  <si>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</si>
  <si>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</si>
  <si>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</si>
  <si>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</si>
  <si>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</si>
  <si>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</si>
  <si>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</si>
  <si>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</si>
  <si>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</si>
  <si>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</si>
  <si>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</si>
  <si>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</si>
  <si>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</si>
  <si>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</si>
  <si>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</si>
  <si>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ESCO GRUPO FEMENINO ALCORCON</t>
  </si>
  <si>
    <t>ELSAMEX CB ANDRATX</t>
  </si>
  <si>
    <t>GEIEG PACISA</t>
  </si>
  <si>
    <t>BASKET ALMEDA</t>
  </si>
  <si>
    <t>CB CLARET BENIMACLET</t>
  </si>
  <si>
    <t>SEGLE XXI</t>
  </si>
  <si>
    <t>C. B. ISLA BONITA</t>
  </si>
  <si>
    <t>DPES CB CIUDAD DE MOSTOLES</t>
  </si>
  <si>
    <t>CESUR DISTRITO OLIMPICO</t>
  </si>
  <si>
    <t>HIERROS DÍAZ EXTREMADURA MIRALVALLE</t>
  </si>
  <si>
    <t>MAGEC TÍAS LANZAROTE CONTRA LA VIOLENCIA DE GÉNERO</t>
  </si>
  <si>
    <t>EL PLANTEL GMASB</t>
  </si>
  <si>
    <t>SPAR GRAN CANARIA</t>
  </si>
  <si>
    <t>DISHELEC 65 VILADECANS</t>
  </si>
  <si>
    <t>18/10/2025</t>
  </si>
  <si>
    <t>17:00</t>
  </si>
  <si>
    <t>17:30</t>
  </si>
  <si>
    <t>18:45</t>
  </si>
  <si>
    <t>19:00</t>
  </si>
  <si>
    <t>Casa</t>
  </si>
  <si>
    <t>Fora</t>
  </si>
  <si>
    <t>RIBEIRO DOS SANTOS BERNARDECO, CAROLINA</t>
  </si>
  <si>
    <t>ESCORIAL FERRERO, GABRIELA</t>
  </si>
  <si>
    <t>DEL AMO SEVILLANO, CLAUDIA</t>
  </si>
  <si>
    <t>BERNARDO PEREZ, LAURA</t>
  </si>
  <si>
    <t>ARANDA FRAILE, MARTA</t>
  </si>
  <si>
    <t>SIFAOUI BUCERO, YASMINE</t>
  </si>
  <si>
    <t>VULOVIC, LENA</t>
  </si>
  <si>
    <t>IPO SERICHE-DOUGAN, NOHEMY</t>
  </si>
  <si>
    <t>MARTÍNEZ MORA, ARIANA</t>
  </si>
  <si>
    <t>CAMIÑA RODRIGUEZ, ISABEL</t>
  </si>
  <si>
    <t>TOTAL</t>
  </si>
  <si>
    <t>STENTA, LUCIA</t>
  </si>
  <si>
    <t>COMELLA PONS, PILAR</t>
  </si>
  <si>
    <t>PEREGRINA GARCIA, ANDREA</t>
  </si>
  <si>
    <t>DIALLO BAGAYOGO, FATOUMATA</t>
  </si>
  <si>
    <t>CONDOM ROSELL, HELENA</t>
  </si>
  <si>
    <t>LÓPEZ MARTÍ, MARTA</t>
  </si>
  <si>
    <t>REAL CERDA, AINA</t>
  </si>
  <si>
    <t>GARCÍA RIVERA, LAURA</t>
  </si>
  <si>
    <t>BALLESTER MANQUE, JENIFER ELAINE</t>
  </si>
  <si>
    <t>SANS CANTALLOPS, PAULA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</si>
  <si>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</si>
  <si>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</si>
  <si>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</si>
  <si>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</si>
  <si>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</si>
  <si>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</si>
  <si>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</si>
  <si>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</si>
  <si>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VILA MATAMALA, CLÀUDIA</t>
  </si>
  <si>
    <t>FERNANDEZ PINSACH, JULIA</t>
  </si>
  <si>
    <t>MITJANAS COSTA, NURIA</t>
  </si>
  <si>
    <t>LLODRA JAEN, MARIA</t>
  </si>
  <si>
    <t>GARCIA MENÉNDEZ, MARINA</t>
  </si>
  <si>
    <t>BALIBREA OLIVERAS, CLAUDIA</t>
  </si>
  <si>
    <t>HOMS FATJO, IVET</t>
  </si>
  <si>
    <t>TIERNO MARTÍ, LAURA</t>
  </si>
  <si>
    <t>PUJOL MARTINEZ, CRISTINA</t>
  </si>
  <si>
    <t>JOVE FUSTE, LAIA</t>
  </si>
  <si>
    <t>DIAZ-GUERRA PRATS, CARLOTA</t>
  </si>
  <si>
    <t>MORENO MENGIBAR, CARLA</t>
  </si>
  <si>
    <t>COJOCARIU, ANDREEA MARIA</t>
  </si>
  <si>
    <t>PERIS FONS, DANA</t>
  </si>
  <si>
    <t>COLL-VINENT OLLE, MAR</t>
  </si>
  <si>
    <t>SERRANO ALVAREZ, INES</t>
  </si>
  <si>
    <t>AFONSO GONZALEZ, SOFIA</t>
  </si>
  <si>
    <t>SARRIO ASENSIO, JULIA</t>
  </si>
  <si>
    <t>ROCHINA TRONCOSO, JUDIT</t>
  </si>
  <si>
    <t>GARCIA HERRERA, NOELIA</t>
  </si>
  <si>
    <t>LIERN RUIZ, LUNA</t>
  </si>
  <si>
    <t>CUELLAR BAYARRI, MARTA</t>
  </si>
  <si>
    <t>CASES REY, EVA</t>
  </si>
  <si>
    <t>IRANZO GUTIERREZ, ESTHER</t>
  </si>
  <si>
    <t>TOLEDO NAVARRO, TAMARA</t>
  </si>
  <si>
    <t>GARRIDO PEREZ, IRENE</t>
  </si>
  <si>
    <t>AJISEBUTU CASAS, ZOE OSAGIE</t>
  </si>
  <si>
    <t>CINTAS DIAZ, MARIA</t>
  </si>
  <si>
    <t>GARCIA DOMINGUEZ, DANIELA</t>
  </si>
  <si>
    <t>CORDÓN ELIZARÁN, NEREA - IZASKUN</t>
  </si>
  <si>
    <t>GARCIA FERNANDEZ, IRENE</t>
  </si>
  <si>
    <t>NDE AKAWUNG, SHAILA</t>
  </si>
  <si>
    <t>CARBÓ MEDINA, MARIA ENRIQUETA</t>
  </si>
  <si>
    <t>ZARZUELO OROZ, MAIDER</t>
  </si>
  <si>
    <t>FERNANDEZ DE CUEVAS MARTINEZ, SARA</t>
  </si>
  <si>
    <t>ASENSIO SENOSIÁIN, BEATRIZ</t>
  </si>
  <si>
    <t>SMYKOVSKAIA, ANNA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</si>
  <si>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</si>
  <si>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</si>
  <si>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</si>
  <si>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</si>
  <si>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</si>
  <si>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</si>
  <si>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</si>
  <si>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</si>
  <si>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CUNILL PEÑA, NURIA</t>
  </si>
  <si>
    <t>GLOMAZIC, ANDREA</t>
  </si>
  <si>
    <t>GONZALEZ GONZALEZ, PAULA</t>
  </si>
  <si>
    <t>VAQUERO MARTINEZ, DANIELA</t>
  </si>
  <si>
    <t>PEREDO LOPEZ, ANA ROSA</t>
  </si>
  <si>
    <t>MORENO HURTADO, BEATRIZ</t>
  </si>
  <si>
    <t>GOMEZ COBO, NURIA</t>
  </si>
  <si>
    <t>GAMEZ MARTINEZ, MARTA</t>
  </si>
  <si>
    <t>CORREA VILLALONA, MELISA</t>
  </si>
  <si>
    <t>MARTINEZ SANZ, BEATRIZ</t>
  </si>
  <si>
    <t>RODRÍGUEZ BAZAGA, BÁRBARA</t>
  </si>
  <si>
    <t>ABUBAKAR ARREY, ELIZABETH</t>
  </si>
  <si>
    <t>JIMENEZ VIZCAINO, ANGELA MARIA</t>
  </si>
  <si>
    <t>ARRANZ ALBERO, BLANCA</t>
  </si>
  <si>
    <t>FRANCISCO ABOS, SARA</t>
  </si>
  <si>
    <t>PICOS PORRAS, ANA</t>
  </si>
  <si>
    <t>CAMPOS ALUM, CRISTINA</t>
  </si>
  <si>
    <t>GOMEZ HERNANDEZ, MARTA</t>
  </si>
  <si>
    <t>ALONSO-BASURTO CUMPLIDO, PATRICIA</t>
  </si>
  <si>
    <t>EMUSI ADENIRAN, ALICIA IWINOSA</t>
  </si>
  <si>
    <t>LEAL FLORES, CARMEN ROCIO</t>
  </si>
  <si>
    <t>GONZÁLEZ RAMÍREZ, ALICIA</t>
  </si>
  <si>
    <t>LOPEZ RIAÑO, VEGA</t>
  </si>
  <si>
    <t>FLORES AGUADO, REBECA</t>
  </si>
  <si>
    <t>MORATINOS MOLINO, EVA</t>
  </si>
  <si>
    <t>PÉREZ CASTRO, MARTA</t>
  </si>
  <si>
    <t>MICHEL, VICTORIA</t>
  </si>
  <si>
    <t>NAVAS CASTRO, LUCIA</t>
  </si>
  <si>
    <t>FERNANDEZ ORAA, ANA</t>
  </si>
  <si>
    <t>ROMERO GARRIDO, MARÍA</t>
  </si>
  <si>
    <t>LAURENSON CHEYNEL, PAULINE</t>
  </si>
  <si>
    <t>LOPEZ CUESTA, GUADALUPE</t>
  </si>
  <si>
    <t>LAZARO HERNANDEZ, CRISTINA</t>
  </si>
  <si>
    <t>LOZANO SOSA, ELENA</t>
  </si>
  <si>
    <t>GARCIA GONZALEZ, YAIZA</t>
  </si>
  <si>
    <t>DRAKE RUIZ-VILLAR, IRANZU</t>
  </si>
  <si>
    <t>HISADO SANTOS, SIRA</t>
  </si>
  <si>
    <t>MATEO CAÑADA, CAROLINA</t>
  </si>
  <si>
    <t>SNORRADOTTIR, BIRGIT OSK</t>
  </si>
  <si>
    <t>MARINHO JUNQUEIRA, MARGARIDA</t>
  </si>
  <si>
    <t>ZABALA GABILONDO, NAROA</t>
  </si>
  <si>
    <t>LAHORA KOERTING, PAULA</t>
  </si>
  <si>
    <t>CARDONA MIRANDA, MARIA PAULA</t>
  </si>
  <si>
    <t>MUÑOZ LAHORA, SILVIA</t>
  </si>
  <si>
    <t>RYZINSKA, DARIA</t>
  </si>
  <si>
    <t>ROJAS CEPERO, CECILIA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</si>
  <si>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</si>
  <si>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</si>
  <si>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</si>
  <si>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</si>
  <si>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</si>
  <si>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</si>
  <si>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GARCIA GARRIDO, MARIA DEL MAR</t>
  </si>
  <si>
    <t>SENE, THIORO</t>
  </si>
  <si>
    <t>PEREZ CASTRO, LOURDES</t>
  </si>
  <si>
    <t>MBULITO UPOLO, MIRIAM</t>
  </si>
  <si>
    <t>HERNANDEZ MARTINEZ, ANDREA</t>
  </si>
  <si>
    <t>DENIZ AGULLO, ANA</t>
  </si>
  <si>
    <t>MBENGUE SÁNCHEZ, AISHA</t>
  </si>
  <si>
    <t>OCURTO MENDES, MAYTE ELIZMA</t>
  </si>
  <si>
    <t>RODRÍGUEZ SÁNCHEZ, MIRANDA DEL MAR</t>
  </si>
  <si>
    <t>EZEANATOGU EZEONU, TRINITY MESOMACHUKWU</t>
  </si>
  <si>
    <t>SANCHEZ GARCIA, LARA</t>
  </si>
  <si>
    <t>ANDUCAS RODON, LAIA</t>
  </si>
  <si>
    <t>CURTO GARCIA, PAULA</t>
  </si>
  <si>
    <t>TURRION ARANDA, JUDITH</t>
  </si>
  <si>
    <t>TORNE LABARTA, ABRIL</t>
  </si>
  <si>
    <t>SANCHEZ MARQUES, NOA</t>
  </si>
  <si>
    <t>RIBERA SANUY, MAR</t>
  </si>
  <si>
    <t>UBIA LLUNELL, QUERALT</t>
  </si>
  <si>
    <t>SOLER RAMOS, NEREA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</si>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</sst>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9"/>
  <sheetViews>
    <sheetView tabSelected="1" workbookViewId="0">
      <selection activeCell="C1" sqref="C1:C1048576"/>
    </sheetView>
  </sheetViews>
  <sheetFormatPr baseColWidth="10" defaultColWidth="9.140625" defaultRowHeight="15" x14ac:dyDescent="0.25"/>
  <cols>
    <col min="1" max="1" width="18.42578125" customWidth="1"/>
    <col min="2" max="2" width="16.7109375" customWidth="1"/>
    <col min="3" max="3" width="16.28515625" customWidth="1"/>
    <col min="4" max="4" width="23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>
        <v>3</v>
      </c>
      <c r="C2" t="s">
        <v>46</v>
      </c>
      <c r="D2" t="s">
        <v>59</v>
      </c>
      <c r="E2" t="s">
        <v>60</v>
      </c>
      <c r="F2" t="s">
        <v>64</v>
      </c>
      <c r="G2">
        <v>1</v>
      </c>
      <c r="H2">
        <v>1</v>
      </c>
      <c r="I2">
        <v>5</v>
      </c>
      <c r="J2" t="s">
        <v>66</v>
      </c>
      <c r="K2">
        <v>27.5</v>
      </c>
      <c r="L2">
        <v>13</v>
      </c>
      <c r="M2">
        <v>1</v>
      </c>
      <c r="N2">
        <v>3</v>
      </c>
      <c r="O2">
        <v>33.299999999999997</v>
      </c>
      <c r="P2">
        <v>3</v>
      </c>
      <c r="Q2">
        <v>3</v>
      </c>
      <c r="R2">
        <v>100</v>
      </c>
      <c r="S2">
        <v>4</v>
      </c>
      <c r="T2">
        <v>6</v>
      </c>
      <c r="U2">
        <v>66.7</v>
      </c>
      <c r="V2">
        <v>2</v>
      </c>
      <c r="W2">
        <v>2</v>
      </c>
      <c r="X2">
        <v>100</v>
      </c>
      <c r="Y2">
        <v>1</v>
      </c>
      <c r="Z2">
        <v>1</v>
      </c>
      <c r="AA2">
        <v>2</v>
      </c>
      <c r="AB2">
        <v>3</v>
      </c>
      <c r="AC2">
        <v>3</v>
      </c>
      <c r="AD2">
        <v>2</v>
      </c>
      <c r="AE2">
        <v>0</v>
      </c>
      <c r="AF2">
        <v>0</v>
      </c>
      <c r="AG2">
        <v>0</v>
      </c>
      <c r="AH2">
        <v>1</v>
      </c>
      <c r="AI2">
        <v>2</v>
      </c>
      <c r="AJ2">
        <v>18</v>
      </c>
      <c r="AK2">
        <v>3</v>
      </c>
      <c r="AL2">
        <v>8.879999999999999</v>
      </c>
      <c r="AM2">
        <v>0.32290909090909092</v>
      </c>
      <c r="AN2">
        <v>94.48</v>
      </c>
      <c r="AO2">
        <v>22.52</v>
      </c>
      <c r="AP2">
        <v>0.33333333333333331</v>
      </c>
      <c r="AQ2">
        <v>43.6</v>
      </c>
      <c r="AR2">
        <v>43.6</v>
      </c>
      <c r="AS2">
        <v>12.79</v>
      </c>
    </row>
    <row r="3" spans="1:45" x14ac:dyDescent="0.25">
      <c r="A3" t="s">
        <v>45</v>
      </c>
      <c r="B3">
        <v>3</v>
      </c>
      <c r="C3" t="s">
        <v>46</v>
      </c>
      <c r="D3" t="s">
        <v>59</v>
      </c>
      <c r="E3" t="s">
        <v>60</v>
      </c>
      <c r="F3" t="s">
        <v>64</v>
      </c>
      <c r="G3">
        <v>1</v>
      </c>
      <c r="H3">
        <v>0</v>
      </c>
      <c r="I3">
        <v>6</v>
      </c>
      <c r="J3" t="s">
        <v>67</v>
      </c>
      <c r="K3">
        <v>22.733333333333331</v>
      </c>
      <c r="L3">
        <v>12</v>
      </c>
      <c r="M3">
        <v>6</v>
      </c>
      <c r="N3">
        <v>11</v>
      </c>
      <c r="O3">
        <v>54.5</v>
      </c>
      <c r="P3">
        <v>0</v>
      </c>
      <c r="Q3">
        <v>0</v>
      </c>
      <c r="R3">
        <v>0</v>
      </c>
      <c r="S3">
        <v>6</v>
      </c>
      <c r="T3">
        <v>11</v>
      </c>
      <c r="U3">
        <v>54.5</v>
      </c>
      <c r="V3">
        <v>0</v>
      </c>
      <c r="W3">
        <v>2</v>
      </c>
      <c r="X3">
        <v>0</v>
      </c>
      <c r="Y3">
        <v>3</v>
      </c>
      <c r="Z3">
        <v>8</v>
      </c>
      <c r="AA3">
        <v>11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4</v>
      </c>
      <c r="AI3">
        <v>2</v>
      </c>
      <c r="AJ3">
        <v>14</v>
      </c>
      <c r="AK3">
        <v>-1</v>
      </c>
      <c r="AL3">
        <v>12.88</v>
      </c>
      <c r="AM3">
        <v>0.56656891495601169</v>
      </c>
      <c r="AN3">
        <v>50.51</v>
      </c>
      <c r="AO3">
        <v>7.76</v>
      </c>
      <c r="AP3">
        <v>0</v>
      </c>
      <c r="AQ3">
        <v>92.59</v>
      </c>
      <c r="AR3">
        <v>0</v>
      </c>
      <c r="AS3">
        <v>7.41</v>
      </c>
    </row>
    <row r="4" spans="1:45" x14ac:dyDescent="0.25">
      <c r="A4" t="s">
        <v>45</v>
      </c>
      <c r="B4">
        <v>3</v>
      </c>
      <c r="C4" t="s">
        <v>46</v>
      </c>
      <c r="D4" t="s">
        <v>59</v>
      </c>
      <c r="E4" t="s">
        <v>60</v>
      </c>
      <c r="F4" t="s">
        <v>64</v>
      </c>
      <c r="G4">
        <v>1</v>
      </c>
      <c r="H4">
        <v>1</v>
      </c>
      <c r="I4">
        <v>8</v>
      </c>
      <c r="J4" t="s">
        <v>68</v>
      </c>
      <c r="K4">
        <v>12.3</v>
      </c>
      <c r="L4">
        <v>12</v>
      </c>
      <c r="M4">
        <v>4</v>
      </c>
      <c r="N4">
        <v>7</v>
      </c>
      <c r="O4">
        <v>57.1</v>
      </c>
      <c r="P4">
        <v>1</v>
      </c>
      <c r="Q4">
        <v>2</v>
      </c>
      <c r="R4">
        <v>50</v>
      </c>
      <c r="S4">
        <v>5</v>
      </c>
      <c r="T4">
        <v>9</v>
      </c>
      <c r="U4">
        <v>55.6</v>
      </c>
      <c r="V4">
        <v>1</v>
      </c>
      <c r="W4">
        <v>2</v>
      </c>
      <c r="X4">
        <v>50</v>
      </c>
      <c r="Y4">
        <v>1</v>
      </c>
      <c r="Z4">
        <v>1</v>
      </c>
      <c r="AA4">
        <v>2</v>
      </c>
      <c r="AB4">
        <v>1</v>
      </c>
      <c r="AC4">
        <v>2</v>
      </c>
      <c r="AD4">
        <v>1</v>
      </c>
      <c r="AE4">
        <v>0</v>
      </c>
      <c r="AF4">
        <v>0</v>
      </c>
      <c r="AG4">
        <v>0</v>
      </c>
      <c r="AH4">
        <v>3</v>
      </c>
      <c r="AI4">
        <v>1</v>
      </c>
      <c r="AJ4">
        <v>9</v>
      </c>
      <c r="AK4">
        <v>13</v>
      </c>
      <c r="AL4">
        <v>10.88</v>
      </c>
      <c r="AM4">
        <v>0.88455284552845526</v>
      </c>
      <c r="AN4">
        <v>60.73</v>
      </c>
      <c r="AO4">
        <v>9.19</v>
      </c>
      <c r="AP4">
        <v>0.1111111111111111</v>
      </c>
      <c r="AQ4">
        <v>70.849999999999994</v>
      </c>
      <c r="AR4">
        <v>20.239999999999998</v>
      </c>
      <c r="AS4">
        <v>8.91</v>
      </c>
    </row>
    <row r="5" spans="1:45" x14ac:dyDescent="0.25">
      <c r="A5" t="s">
        <v>45</v>
      </c>
      <c r="B5">
        <v>3</v>
      </c>
      <c r="C5" t="s">
        <v>46</v>
      </c>
      <c r="D5" t="s">
        <v>59</v>
      </c>
      <c r="E5" t="s">
        <v>60</v>
      </c>
      <c r="F5" t="s">
        <v>64</v>
      </c>
      <c r="G5">
        <v>1</v>
      </c>
      <c r="H5">
        <v>0</v>
      </c>
      <c r="I5">
        <v>9</v>
      </c>
      <c r="J5" t="s">
        <v>69</v>
      </c>
      <c r="K5">
        <v>14.93333333333333</v>
      </c>
      <c r="L5">
        <v>9</v>
      </c>
      <c r="M5">
        <v>1</v>
      </c>
      <c r="N5">
        <v>1</v>
      </c>
      <c r="O5">
        <v>100</v>
      </c>
      <c r="P5">
        <v>2</v>
      </c>
      <c r="Q5">
        <v>4</v>
      </c>
      <c r="R5">
        <v>50</v>
      </c>
      <c r="S5">
        <v>3</v>
      </c>
      <c r="T5">
        <v>5</v>
      </c>
      <c r="U5">
        <v>60</v>
      </c>
      <c r="V5">
        <v>1</v>
      </c>
      <c r="W5">
        <v>2</v>
      </c>
      <c r="X5">
        <v>50</v>
      </c>
      <c r="Y5">
        <v>0</v>
      </c>
      <c r="Z5">
        <v>4</v>
      </c>
      <c r="AA5">
        <v>4</v>
      </c>
      <c r="AB5">
        <v>2</v>
      </c>
      <c r="AC5">
        <v>0</v>
      </c>
      <c r="AD5">
        <v>1</v>
      </c>
      <c r="AE5">
        <v>0</v>
      </c>
      <c r="AF5">
        <v>0</v>
      </c>
      <c r="AG5">
        <v>0</v>
      </c>
      <c r="AH5">
        <v>3</v>
      </c>
      <c r="AI5">
        <v>1</v>
      </c>
      <c r="AJ5">
        <v>9</v>
      </c>
      <c r="AK5">
        <v>-2</v>
      </c>
      <c r="AL5">
        <v>6.88</v>
      </c>
      <c r="AM5">
        <v>0.46071428571428569</v>
      </c>
      <c r="AN5">
        <v>76.53</v>
      </c>
      <c r="AO5">
        <v>14.53</v>
      </c>
      <c r="AP5">
        <v>0.2</v>
      </c>
      <c r="AQ5">
        <v>17.010000000000002</v>
      </c>
      <c r="AR5">
        <v>68.03</v>
      </c>
      <c r="AS5">
        <v>14.97</v>
      </c>
    </row>
    <row r="6" spans="1:45" x14ac:dyDescent="0.25">
      <c r="A6" t="s">
        <v>45</v>
      </c>
      <c r="B6">
        <v>3</v>
      </c>
      <c r="C6" t="s">
        <v>46</v>
      </c>
      <c r="D6" t="s">
        <v>59</v>
      </c>
      <c r="E6" t="s">
        <v>60</v>
      </c>
      <c r="F6" t="s">
        <v>64</v>
      </c>
      <c r="G6">
        <v>1</v>
      </c>
      <c r="H6">
        <v>0</v>
      </c>
      <c r="I6">
        <v>13</v>
      </c>
      <c r="J6" t="s">
        <v>70</v>
      </c>
      <c r="K6">
        <v>23.833333333333329</v>
      </c>
      <c r="L6">
        <v>3</v>
      </c>
      <c r="M6">
        <v>1</v>
      </c>
      <c r="N6">
        <v>1</v>
      </c>
      <c r="O6">
        <v>100</v>
      </c>
      <c r="P6">
        <v>0</v>
      </c>
      <c r="Q6">
        <v>6</v>
      </c>
      <c r="R6">
        <v>0</v>
      </c>
      <c r="S6">
        <v>1</v>
      </c>
      <c r="T6">
        <v>7</v>
      </c>
      <c r="U6">
        <v>14.3</v>
      </c>
      <c r="V6">
        <v>1</v>
      </c>
      <c r="W6">
        <v>2</v>
      </c>
      <c r="X6">
        <v>50</v>
      </c>
      <c r="Y6">
        <v>1</v>
      </c>
      <c r="Z6">
        <v>2</v>
      </c>
      <c r="AA6">
        <v>3</v>
      </c>
      <c r="AB6">
        <v>8</v>
      </c>
      <c r="AC6">
        <v>0</v>
      </c>
      <c r="AD6">
        <v>0</v>
      </c>
      <c r="AE6">
        <v>0</v>
      </c>
      <c r="AF6">
        <v>0</v>
      </c>
      <c r="AG6">
        <v>0</v>
      </c>
      <c r="AH6">
        <v>2</v>
      </c>
      <c r="AI6">
        <v>1</v>
      </c>
      <c r="AJ6">
        <v>6</v>
      </c>
      <c r="AK6">
        <v>7</v>
      </c>
      <c r="AL6">
        <v>7.88</v>
      </c>
      <c r="AM6">
        <v>0.33062937062937059</v>
      </c>
      <c r="AN6">
        <v>19.04</v>
      </c>
      <c r="AO6">
        <v>0</v>
      </c>
      <c r="AP6">
        <v>0.14285714285714279</v>
      </c>
      <c r="AQ6">
        <v>12.69</v>
      </c>
      <c r="AR6">
        <v>76.14</v>
      </c>
      <c r="AS6">
        <v>11.17</v>
      </c>
    </row>
    <row r="7" spans="1:45" x14ac:dyDescent="0.25">
      <c r="A7" t="s">
        <v>45</v>
      </c>
      <c r="B7">
        <v>3</v>
      </c>
      <c r="C7" t="s">
        <v>46</v>
      </c>
      <c r="D7" t="s">
        <v>59</v>
      </c>
      <c r="E7" t="s">
        <v>60</v>
      </c>
      <c r="F7" t="s">
        <v>64</v>
      </c>
      <c r="G7">
        <v>1</v>
      </c>
      <c r="H7">
        <v>0</v>
      </c>
      <c r="I7">
        <v>14</v>
      </c>
      <c r="J7" t="s">
        <v>71</v>
      </c>
      <c r="K7">
        <v>24.45</v>
      </c>
      <c r="L7">
        <v>9</v>
      </c>
      <c r="M7">
        <v>3</v>
      </c>
      <c r="N7">
        <v>7</v>
      </c>
      <c r="O7">
        <v>42.9</v>
      </c>
      <c r="P7">
        <v>0</v>
      </c>
      <c r="Q7">
        <v>0</v>
      </c>
      <c r="R7">
        <v>0</v>
      </c>
      <c r="S7">
        <v>3</v>
      </c>
      <c r="T7">
        <v>7</v>
      </c>
      <c r="U7">
        <v>42.9</v>
      </c>
      <c r="V7">
        <v>3</v>
      </c>
      <c r="W7">
        <v>6</v>
      </c>
      <c r="X7">
        <v>50</v>
      </c>
      <c r="Y7">
        <v>3</v>
      </c>
      <c r="Z7">
        <v>5</v>
      </c>
      <c r="AA7">
        <v>8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H7">
        <v>1</v>
      </c>
      <c r="AI7">
        <v>4</v>
      </c>
      <c r="AJ7">
        <v>14</v>
      </c>
      <c r="AK7">
        <v>10</v>
      </c>
      <c r="AL7">
        <v>10.64</v>
      </c>
      <c r="AM7">
        <v>0.43517382413087941</v>
      </c>
      <c r="AN7">
        <v>46.68</v>
      </c>
      <c r="AO7">
        <v>9.4</v>
      </c>
      <c r="AP7">
        <v>0.42857142857142849</v>
      </c>
      <c r="AQ7">
        <v>72.61</v>
      </c>
      <c r="AR7">
        <v>0</v>
      </c>
      <c r="AS7">
        <v>27.39</v>
      </c>
    </row>
    <row r="8" spans="1:45" x14ac:dyDescent="0.25">
      <c r="A8" t="s">
        <v>45</v>
      </c>
      <c r="B8">
        <v>3</v>
      </c>
      <c r="C8" t="s">
        <v>46</v>
      </c>
      <c r="D8" t="s">
        <v>59</v>
      </c>
      <c r="E8" t="s">
        <v>60</v>
      </c>
      <c r="F8" t="s">
        <v>64</v>
      </c>
      <c r="G8">
        <v>1</v>
      </c>
      <c r="H8">
        <v>1</v>
      </c>
      <c r="I8">
        <v>18</v>
      </c>
      <c r="J8" t="s">
        <v>72</v>
      </c>
      <c r="K8">
        <v>17.466666666666669</v>
      </c>
      <c r="L8">
        <v>5</v>
      </c>
      <c r="M8">
        <v>1</v>
      </c>
      <c r="N8">
        <v>3</v>
      </c>
      <c r="O8">
        <v>33.299999999999997</v>
      </c>
      <c r="P8">
        <v>0</v>
      </c>
      <c r="Q8">
        <v>0</v>
      </c>
      <c r="R8">
        <v>0</v>
      </c>
      <c r="S8">
        <v>1</v>
      </c>
      <c r="T8">
        <v>3</v>
      </c>
      <c r="U8">
        <v>33.299999999999997</v>
      </c>
      <c r="V8">
        <v>3</v>
      </c>
      <c r="W8">
        <v>4</v>
      </c>
      <c r="X8">
        <v>75</v>
      </c>
      <c r="Y8">
        <v>0</v>
      </c>
      <c r="Z8">
        <v>1</v>
      </c>
      <c r="AA8">
        <v>1</v>
      </c>
      <c r="AB8">
        <v>1</v>
      </c>
      <c r="AC8">
        <v>1</v>
      </c>
      <c r="AD8">
        <v>3</v>
      </c>
      <c r="AE8">
        <v>0</v>
      </c>
      <c r="AF8">
        <v>1</v>
      </c>
      <c r="AG8">
        <v>0</v>
      </c>
      <c r="AH8">
        <v>3</v>
      </c>
      <c r="AI8">
        <v>2</v>
      </c>
      <c r="AJ8">
        <v>1</v>
      </c>
      <c r="AK8">
        <v>1</v>
      </c>
      <c r="AL8">
        <v>7.76</v>
      </c>
      <c r="AM8">
        <v>0.44427480916030537</v>
      </c>
      <c r="AN8">
        <v>52.52</v>
      </c>
      <c r="AO8">
        <v>38.659999999999997</v>
      </c>
      <c r="AP8">
        <v>1</v>
      </c>
      <c r="AQ8">
        <v>63.03</v>
      </c>
      <c r="AR8">
        <v>0</v>
      </c>
      <c r="AS8">
        <v>36.97</v>
      </c>
    </row>
    <row r="9" spans="1:45" x14ac:dyDescent="0.25">
      <c r="A9" t="s">
        <v>45</v>
      </c>
      <c r="B9">
        <v>3</v>
      </c>
      <c r="C9" t="s">
        <v>46</v>
      </c>
      <c r="D9" t="s">
        <v>59</v>
      </c>
      <c r="E9" t="s">
        <v>60</v>
      </c>
      <c r="F9" t="s">
        <v>64</v>
      </c>
      <c r="G9">
        <v>1</v>
      </c>
      <c r="H9">
        <v>1</v>
      </c>
      <c r="I9">
        <v>19</v>
      </c>
      <c r="J9" t="s">
        <v>73</v>
      </c>
      <c r="K9">
        <v>20.533333333333331</v>
      </c>
      <c r="L9">
        <v>7</v>
      </c>
      <c r="M9">
        <v>1</v>
      </c>
      <c r="N9">
        <v>5</v>
      </c>
      <c r="O9">
        <v>20</v>
      </c>
      <c r="P9">
        <v>0</v>
      </c>
      <c r="Q9">
        <v>1</v>
      </c>
      <c r="R9">
        <v>0</v>
      </c>
      <c r="S9">
        <v>1</v>
      </c>
      <c r="T9">
        <v>6</v>
      </c>
      <c r="U9">
        <v>16.7</v>
      </c>
      <c r="V9">
        <v>5</v>
      </c>
      <c r="W9">
        <v>10</v>
      </c>
      <c r="X9">
        <v>50</v>
      </c>
      <c r="Y9">
        <v>1</v>
      </c>
      <c r="Z9">
        <v>5</v>
      </c>
      <c r="AA9">
        <v>6</v>
      </c>
      <c r="AB9">
        <v>6</v>
      </c>
      <c r="AC9">
        <v>1</v>
      </c>
      <c r="AD9">
        <v>1</v>
      </c>
      <c r="AE9">
        <v>0</v>
      </c>
      <c r="AF9">
        <v>0</v>
      </c>
      <c r="AG9">
        <v>0</v>
      </c>
      <c r="AH9">
        <v>2</v>
      </c>
      <c r="AI9">
        <v>7</v>
      </c>
      <c r="AJ9">
        <v>14</v>
      </c>
      <c r="AK9">
        <v>1</v>
      </c>
      <c r="AL9">
        <v>11.4</v>
      </c>
      <c r="AM9">
        <v>0.55519480519480513</v>
      </c>
      <c r="AN9">
        <v>33.65</v>
      </c>
      <c r="AO9">
        <v>8.77</v>
      </c>
      <c r="AP9">
        <v>0.83333333333333337</v>
      </c>
      <c r="AQ9">
        <v>48.08</v>
      </c>
      <c r="AR9">
        <v>9.6199999999999992</v>
      </c>
      <c r="AS9">
        <v>42.31</v>
      </c>
    </row>
    <row r="10" spans="1:45" x14ac:dyDescent="0.25">
      <c r="A10" t="s">
        <v>45</v>
      </c>
      <c r="B10">
        <v>3</v>
      </c>
      <c r="C10" t="s">
        <v>46</v>
      </c>
      <c r="D10" t="s">
        <v>59</v>
      </c>
      <c r="E10" t="s">
        <v>60</v>
      </c>
      <c r="F10" t="s">
        <v>64</v>
      </c>
      <c r="G10">
        <v>1</v>
      </c>
      <c r="H10">
        <v>0</v>
      </c>
      <c r="I10">
        <v>21</v>
      </c>
      <c r="J10" t="s">
        <v>74</v>
      </c>
      <c r="K10">
        <v>12.41666666666667</v>
      </c>
      <c r="L10">
        <v>3</v>
      </c>
      <c r="M10">
        <v>1</v>
      </c>
      <c r="N10">
        <v>1</v>
      </c>
      <c r="O10">
        <v>100</v>
      </c>
      <c r="P10">
        <v>0</v>
      </c>
      <c r="Q10">
        <v>0</v>
      </c>
      <c r="R10">
        <v>0</v>
      </c>
      <c r="S10">
        <v>1</v>
      </c>
      <c r="T10">
        <v>1</v>
      </c>
      <c r="U10">
        <v>100</v>
      </c>
      <c r="V10">
        <v>1</v>
      </c>
      <c r="W10">
        <v>2</v>
      </c>
      <c r="X10">
        <v>50</v>
      </c>
      <c r="Y10">
        <v>1</v>
      </c>
      <c r="Z10">
        <v>1</v>
      </c>
      <c r="AA10">
        <v>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2</v>
      </c>
      <c r="AJ10">
        <v>4</v>
      </c>
      <c r="AK10">
        <v>6</v>
      </c>
      <c r="AL10">
        <v>1.88</v>
      </c>
      <c r="AM10">
        <v>0.15140939597315439</v>
      </c>
      <c r="AN10">
        <v>79.790000000000006</v>
      </c>
      <c r="AO10">
        <v>0</v>
      </c>
      <c r="AP10">
        <v>1</v>
      </c>
      <c r="AQ10">
        <v>53.19</v>
      </c>
      <c r="AR10">
        <v>0</v>
      </c>
      <c r="AS10">
        <v>46.81</v>
      </c>
    </row>
    <row r="11" spans="1:45" x14ac:dyDescent="0.25">
      <c r="A11" t="s">
        <v>45</v>
      </c>
      <c r="B11">
        <v>3</v>
      </c>
      <c r="C11" t="s">
        <v>46</v>
      </c>
      <c r="D11" t="s">
        <v>59</v>
      </c>
      <c r="E11" t="s">
        <v>60</v>
      </c>
      <c r="F11" t="s">
        <v>64</v>
      </c>
      <c r="G11">
        <v>1</v>
      </c>
      <c r="H11">
        <v>1</v>
      </c>
      <c r="I11">
        <v>30</v>
      </c>
      <c r="J11" t="s">
        <v>75</v>
      </c>
      <c r="K11">
        <v>23.833333333333329</v>
      </c>
      <c r="L11">
        <v>17</v>
      </c>
      <c r="M11">
        <v>3</v>
      </c>
      <c r="N11">
        <v>4</v>
      </c>
      <c r="O11">
        <v>75</v>
      </c>
      <c r="P11">
        <v>3</v>
      </c>
      <c r="Q11">
        <v>9</v>
      </c>
      <c r="R11">
        <v>33.299999999999997</v>
      </c>
      <c r="S11">
        <v>6</v>
      </c>
      <c r="T11">
        <v>13</v>
      </c>
      <c r="U11">
        <v>46.2</v>
      </c>
      <c r="V11">
        <v>2</v>
      </c>
      <c r="W11">
        <v>2</v>
      </c>
      <c r="X11">
        <v>100</v>
      </c>
      <c r="Y11">
        <v>4</v>
      </c>
      <c r="Z11">
        <v>4</v>
      </c>
      <c r="AA11">
        <v>8</v>
      </c>
      <c r="AB11">
        <v>1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3</v>
      </c>
      <c r="AI11">
        <v>1</v>
      </c>
      <c r="AJ11">
        <v>15</v>
      </c>
      <c r="AK11">
        <v>17</v>
      </c>
      <c r="AL11">
        <v>15.88</v>
      </c>
      <c r="AM11">
        <v>0.66629370629370632</v>
      </c>
      <c r="AN11">
        <v>61.24</v>
      </c>
      <c r="AO11">
        <v>12.59</v>
      </c>
      <c r="AP11">
        <v>0.15384615384615391</v>
      </c>
      <c r="AQ11">
        <v>28.82</v>
      </c>
      <c r="AR11">
        <v>64.84</v>
      </c>
      <c r="AS11">
        <v>6.34</v>
      </c>
    </row>
    <row r="12" spans="1:45" x14ac:dyDescent="0.25">
      <c r="A12" t="s">
        <v>45</v>
      </c>
      <c r="B12">
        <v>3</v>
      </c>
      <c r="C12" t="s">
        <v>46</v>
      </c>
      <c r="D12" t="s">
        <v>59</v>
      </c>
      <c r="E12" t="s">
        <v>60</v>
      </c>
      <c r="F12" t="s">
        <v>64</v>
      </c>
      <c r="G12">
        <v>1</v>
      </c>
      <c r="H12">
        <v>0</v>
      </c>
      <c r="J12" t="s">
        <v>76</v>
      </c>
      <c r="K12">
        <v>200</v>
      </c>
      <c r="L12">
        <v>90</v>
      </c>
      <c r="M12">
        <v>22</v>
      </c>
      <c r="N12">
        <v>43</v>
      </c>
      <c r="O12">
        <v>51.2</v>
      </c>
      <c r="P12">
        <v>9</v>
      </c>
      <c r="Q12">
        <v>25</v>
      </c>
      <c r="R12">
        <v>36</v>
      </c>
      <c r="S12">
        <v>31</v>
      </c>
      <c r="T12">
        <v>68</v>
      </c>
      <c r="U12">
        <v>45.6</v>
      </c>
      <c r="V12">
        <v>19</v>
      </c>
      <c r="W12">
        <v>34</v>
      </c>
      <c r="X12">
        <v>55.9</v>
      </c>
      <c r="Y12">
        <v>15</v>
      </c>
      <c r="Z12">
        <v>32</v>
      </c>
      <c r="AA12">
        <v>47</v>
      </c>
      <c r="AB12">
        <v>23</v>
      </c>
      <c r="AC12">
        <v>8</v>
      </c>
      <c r="AD12">
        <v>12</v>
      </c>
      <c r="AE12">
        <v>1</v>
      </c>
      <c r="AF12">
        <v>1</v>
      </c>
      <c r="AG12">
        <v>0</v>
      </c>
      <c r="AH12">
        <v>24</v>
      </c>
      <c r="AI12">
        <v>23</v>
      </c>
      <c r="AJ12">
        <v>104</v>
      </c>
      <c r="AL12">
        <v>94.960000000000008</v>
      </c>
      <c r="AM12">
        <v>0.47480000000000011</v>
      </c>
      <c r="AN12">
        <v>54.24</v>
      </c>
      <c r="AO12">
        <v>12.64</v>
      </c>
      <c r="AP12">
        <v>0.27941176470588241</v>
      </c>
      <c r="AQ12">
        <v>51.83</v>
      </c>
      <c r="AR12">
        <v>30.14</v>
      </c>
      <c r="AS12">
        <v>18.03</v>
      </c>
    </row>
    <row r="13" spans="1:45" x14ac:dyDescent="0.25">
      <c r="A13" t="s">
        <v>46</v>
      </c>
      <c r="B13">
        <v>3</v>
      </c>
      <c r="C13" t="s">
        <v>45</v>
      </c>
      <c r="D13" t="s">
        <v>59</v>
      </c>
      <c r="E13" t="s">
        <v>60</v>
      </c>
      <c r="F13" t="s">
        <v>65</v>
      </c>
      <c r="G13">
        <v>0</v>
      </c>
      <c r="H13">
        <v>0</v>
      </c>
      <c r="I13">
        <v>1</v>
      </c>
      <c r="J13" t="s">
        <v>77</v>
      </c>
      <c r="K13">
        <v>9.6833333333333336</v>
      </c>
      <c r="L13">
        <v>4</v>
      </c>
      <c r="M13">
        <v>0</v>
      </c>
      <c r="N13">
        <v>1</v>
      </c>
      <c r="O13">
        <v>0</v>
      </c>
      <c r="P13">
        <v>1</v>
      </c>
      <c r="Q13">
        <v>1</v>
      </c>
      <c r="R13">
        <v>100</v>
      </c>
      <c r="S13">
        <v>1</v>
      </c>
      <c r="T13">
        <v>2</v>
      </c>
      <c r="U13">
        <v>50</v>
      </c>
      <c r="V13">
        <v>1</v>
      </c>
      <c r="W13">
        <v>2</v>
      </c>
      <c r="X13">
        <v>50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3</v>
      </c>
      <c r="AE13">
        <v>0</v>
      </c>
      <c r="AF13">
        <v>0</v>
      </c>
      <c r="AG13">
        <v>0</v>
      </c>
      <c r="AH13">
        <v>3</v>
      </c>
      <c r="AI13">
        <v>1</v>
      </c>
      <c r="AJ13">
        <v>-2</v>
      </c>
      <c r="AK13">
        <v>-9</v>
      </c>
      <c r="AL13">
        <v>5.88</v>
      </c>
      <c r="AM13">
        <v>0.60722891566265058</v>
      </c>
      <c r="AN13">
        <v>69.44</v>
      </c>
      <c r="AO13">
        <v>51.02</v>
      </c>
      <c r="AP13">
        <v>0.5</v>
      </c>
      <c r="AQ13">
        <v>34.72</v>
      </c>
      <c r="AR13">
        <v>34.72</v>
      </c>
      <c r="AS13">
        <v>30.56</v>
      </c>
    </row>
    <row r="14" spans="1:45" x14ac:dyDescent="0.25">
      <c r="A14" t="s">
        <v>46</v>
      </c>
      <c r="B14">
        <v>3</v>
      </c>
      <c r="C14" t="s">
        <v>45</v>
      </c>
      <c r="D14" t="s">
        <v>59</v>
      </c>
      <c r="E14" t="s">
        <v>60</v>
      </c>
      <c r="F14" t="s">
        <v>65</v>
      </c>
      <c r="G14">
        <v>0</v>
      </c>
      <c r="H14">
        <v>0</v>
      </c>
      <c r="I14">
        <v>5</v>
      </c>
      <c r="J14" t="s">
        <v>78</v>
      </c>
      <c r="K14">
        <v>34.4</v>
      </c>
      <c r="L14">
        <v>19</v>
      </c>
      <c r="M14">
        <v>3</v>
      </c>
      <c r="N14">
        <v>7</v>
      </c>
      <c r="O14">
        <v>42.9</v>
      </c>
      <c r="P14">
        <v>4</v>
      </c>
      <c r="Q14">
        <v>9</v>
      </c>
      <c r="R14">
        <v>44.4</v>
      </c>
      <c r="S14">
        <v>7</v>
      </c>
      <c r="T14">
        <v>16</v>
      </c>
      <c r="U14">
        <v>43.8</v>
      </c>
      <c r="V14">
        <v>1</v>
      </c>
      <c r="W14">
        <v>3</v>
      </c>
      <c r="X14">
        <v>33.299999999999997</v>
      </c>
      <c r="Y14">
        <v>0</v>
      </c>
      <c r="Z14">
        <v>7</v>
      </c>
      <c r="AA14">
        <v>7</v>
      </c>
      <c r="AB14">
        <v>3</v>
      </c>
      <c r="AC14">
        <v>2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4</v>
      </c>
      <c r="AJ14">
        <v>23</v>
      </c>
      <c r="AK14">
        <v>-2</v>
      </c>
      <c r="AL14">
        <v>18.32</v>
      </c>
      <c r="AM14">
        <v>0.53255813953488373</v>
      </c>
      <c r="AN14">
        <v>54.85</v>
      </c>
      <c r="AO14">
        <v>5.46</v>
      </c>
      <c r="AP14">
        <v>6.25E-2</v>
      </c>
      <c r="AQ14">
        <v>40.42</v>
      </c>
      <c r="AR14">
        <v>51.96</v>
      </c>
      <c r="AS14">
        <v>7.62</v>
      </c>
    </row>
    <row r="15" spans="1:45" x14ac:dyDescent="0.25">
      <c r="A15" t="s">
        <v>46</v>
      </c>
      <c r="B15">
        <v>3</v>
      </c>
      <c r="C15" t="s">
        <v>45</v>
      </c>
      <c r="D15" t="s">
        <v>59</v>
      </c>
      <c r="E15" t="s">
        <v>60</v>
      </c>
      <c r="F15" t="s">
        <v>65</v>
      </c>
      <c r="G15">
        <v>0</v>
      </c>
      <c r="H15">
        <v>0</v>
      </c>
      <c r="I15">
        <v>6</v>
      </c>
      <c r="J15" t="s">
        <v>79</v>
      </c>
      <c r="K15">
        <v>27.616666666666671</v>
      </c>
      <c r="L15">
        <v>11</v>
      </c>
      <c r="M15">
        <v>2</v>
      </c>
      <c r="N15">
        <v>4</v>
      </c>
      <c r="O15">
        <v>50</v>
      </c>
      <c r="P15">
        <v>1</v>
      </c>
      <c r="Q15">
        <v>5</v>
      </c>
      <c r="R15">
        <v>20</v>
      </c>
      <c r="S15">
        <v>3</v>
      </c>
      <c r="T15">
        <v>9</v>
      </c>
      <c r="U15">
        <v>33.299999999999997</v>
      </c>
      <c r="V15">
        <v>4</v>
      </c>
      <c r="W15">
        <v>4</v>
      </c>
      <c r="X15">
        <v>100</v>
      </c>
      <c r="Y15">
        <v>0</v>
      </c>
      <c r="Z15">
        <v>6</v>
      </c>
      <c r="AA15">
        <v>6</v>
      </c>
      <c r="AB15">
        <v>5</v>
      </c>
      <c r="AC15">
        <v>1</v>
      </c>
      <c r="AD15">
        <v>2</v>
      </c>
      <c r="AE15">
        <v>0</v>
      </c>
      <c r="AF15">
        <v>0</v>
      </c>
      <c r="AG15">
        <v>0</v>
      </c>
      <c r="AH15">
        <v>1</v>
      </c>
      <c r="AI15">
        <v>7</v>
      </c>
      <c r="AJ15">
        <v>21</v>
      </c>
      <c r="AK15">
        <v>6</v>
      </c>
      <c r="AL15">
        <v>12.76</v>
      </c>
      <c r="AM15">
        <v>0.46203983101991553</v>
      </c>
      <c r="AN15">
        <v>51.12</v>
      </c>
      <c r="AO15">
        <v>15.67</v>
      </c>
      <c r="AP15">
        <v>0.44444444444444442</v>
      </c>
      <c r="AQ15">
        <v>37.17</v>
      </c>
      <c r="AR15">
        <v>46.47</v>
      </c>
      <c r="AS15">
        <v>16.36</v>
      </c>
    </row>
    <row r="16" spans="1:45" x14ac:dyDescent="0.25">
      <c r="A16" t="s">
        <v>46</v>
      </c>
      <c r="B16">
        <v>3</v>
      </c>
      <c r="C16" t="s">
        <v>45</v>
      </c>
      <c r="D16" t="s">
        <v>59</v>
      </c>
      <c r="E16" t="s">
        <v>60</v>
      </c>
      <c r="F16" t="s">
        <v>65</v>
      </c>
      <c r="G16">
        <v>0</v>
      </c>
      <c r="H16">
        <v>0</v>
      </c>
      <c r="I16">
        <v>11</v>
      </c>
      <c r="J16" t="s">
        <v>80</v>
      </c>
      <c r="K16">
        <v>8.4</v>
      </c>
      <c r="L16">
        <v>6</v>
      </c>
      <c r="M16">
        <v>0</v>
      </c>
      <c r="N16">
        <v>0</v>
      </c>
      <c r="O16">
        <v>0</v>
      </c>
      <c r="P16">
        <v>1</v>
      </c>
      <c r="Q16">
        <v>1</v>
      </c>
      <c r="R16">
        <v>100</v>
      </c>
      <c r="S16">
        <v>1</v>
      </c>
      <c r="T16">
        <v>1</v>
      </c>
      <c r="U16">
        <v>100</v>
      </c>
      <c r="V16">
        <v>3</v>
      </c>
      <c r="W16">
        <v>4</v>
      </c>
      <c r="X16">
        <v>75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2</v>
      </c>
      <c r="AJ16">
        <v>6</v>
      </c>
      <c r="AK16">
        <v>-7</v>
      </c>
      <c r="AL16">
        <v>2.76</v>
      </c>
      <c r="AM16">
        <v>0.32857142857142851</v>
      </c>
      <c r="AN16">
        <v>108.7</v>
      </c>
      <c r="AO16">
        <v>0</v>
      </c>
      <c r="AP16">
        <v>3</v>
      </c>
      <c r="AQ16">
        <v>0</v>
      </c>
      <c r="AR16">
        <v>36.229999999999997</v>
      </c>
      <c r="AS16">
        <v>63.77</v>
      </c>
    </row>
    <row r="17" spans="1:45" x14ac:dyDescent="0.25">
      <c r="A17" t="s">
        <v>46</v>
      </c>
      <c r="B17">
        <v>3</v>
      </c>
      <c r="C17" t="s">
        <v>45</v>
      </c>
      <c r="D17" t="s">
        <v>59</v>
      </c>
      <c r="E17" t="s">
        <v>60</v>
      </c>
      <c r="F17" t="s">
        <v>65</v>
      </c>
      <c r="G17">
        <v>0</v>
      </c>
      <c r="H17">
        <v>0</v>
      </c>
      <c r="I17">
        <v>13</v>
      </c>
      <c r="J17" t="s">
        <v>81</v>
      </c>
      <c r="K17">
        <v>30.31666666666667</v>
      </c>
      <c r="L17">
        <v>8</v>
      </c>
      <c r="M17">
        <v>3</v>
      </c>
      <c r="N17">
        <v>5</v>
      </c>
      <c r="O17">
        <v>60</v>
      </c>
      <c r="P17">
        <v>0</v>
      </c>
      <c r="Q17">
        <v>0</v>
      </c>
      <c r="R17">
        <v>0</v>
      </c>
      <c r="S17">
        <v>3</v>
      </c>
      <c r="T17">
        <v>5</v>
      </c>
      <c r="U17">
        <v>60</v>
      </c>
      <c r="V17">
        <v>2</v>
      </c>
      <c r="W17">
        <v>2</v>
      </c>
      <c r="X17">
        <v>100</v>
      </c>
      <c r="Y17">
        <v>2</v>
      </c>
      <c r="Z17">
        <v>4</v>
      </c>
      <c r="AA17">
        <v>6</v>
      </c>
      <c r="AB17">
        <v>2</v>
      </c>
      <c r="AC17">
        <v>0</v>
      </c>
      <c r="AD17">
        <v>1</v>
      </c>
      <c r="AE17">
        <v>1</v>
      </c>
      <c r="AF17">
        <v>1</v>
      </c>
      <c r="AG17">
        <v>0</v>
      </c>
      <c r="AH17">
        <v>3</v>
      </c>
      <c r="AI17">
        <v>1</v>
      </c>
      <c r="AJ17">
        <v>12</v>
      </c>
      <c r="AK17">
        <v>-2</v>
      </c>
      <c r="AL17">
        <v>6.88</v>
      </c>
      <c r="AM17">
        <v>0.22693787795492029</v>
      </c>
      <c r="AN17">
        <v>68.03</v>
      </c>
      <c r="AO17">
        <v>14.53</v>
      </c>
      <c r="AP17">
        <v>0.4</v>
      </c>
      <c r="AQ17">
        <v>85.03</v>
      </c>
      <c r="AR17">
        <v>0</v>
      </c>
      <c r="AS17">
        <v>14.97</v>
      </c>
    </row>
    <row r="18" spans="1:45" x14ac:dyDescent="0.25">
      <c r="A18" t="s">
        <v>46</v>
      </c>
      <c r="B18">
        <v>3</v>
      </c>
      <c r="C18" t="s">
        <v>45</v>
      </c>
      <c r="D18" t="s">
        <v>59</v>
      </c>
      <c r="E18" t="s">
        <v>60</v>
      </c>
      <c r="F18" t="s">
        <v>65</v>
      </c>
      <c r="G18">
        <v>0</v>
      </c>
      <c r="H18">
        <v>0</v>
      </c>
      <c r="I18">
        <v>14</v>
      </c>
      <c r="J18" t="s">
        <v>82</v>
      </c>
      <c r="K18">
        <v>17.533333333333331</v>
      </c>
      <c r="L18">
        <v>2</v>
      </c>
      <c r="M18">
        <v>1</v>
      </c>
      <c r="N18">
        <v>2</v>
      </c>
      <c r="O18">
        <v>50</v>
      </c>
      <c r="P18">
        <v>0</v>
      </c>
      <c r="Q18">
        <v>1</v>
      </c>
      <c r="R18">
        <v>0</v>
      </c>
      <c r="S18">
        <v>1</v>
      </c>
      <c r="T18">
        <v>3</v>
      </c>
      <c r="U18">
        <v>33.299999999999997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-14</v>
      </c>
      <c r="AL18">
        <v>4</v>
      </c>
      <c r="AM18">
        <v>0.22813688212927749</v>
      </c>
      <c r="AN18">
        <v>33.33</v>
      </c>
      <c r="AO18">
        <v>25</v>
      </c>
      <c r="AP18">
        <v>0</v>
      </c>
      <c r="AQ18">
        <v>66.67</v>
      </c>
      <c r="AR18">
        <v>33.33</v>
      </c>
      <c r="AS18">
        <v>0</v>
      </c>
    </row>
    <row r="19" spans="1:45" x14ac:dyDescent="0.25">
      <c r="A19" t="s">
        <v>46</v>
      </c>
      <c r="B19">
        <v>3</v>
      </c>
      <c r="C19" t="s">
        <v>45</v>
      </c>
      <c r="D19" t="s">
        <v>59</v>
      </c>
      <c r="E19" t="s">
        <v>60</v>
      </c>
      <c r="F19" t="s">
        <v>65</v>
      </c>
      <c r="G19">
        <v>0</v>
      </c>
      <c r="H19">
        <v>0</v>
      </c>
      <c r="I19">
        <v>20</v>
      </c>
      <c r="J19" t="s">
        <v>83</v>
      </c>
      <c r="K19">
        <v>7.15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2</v>
      </c>
      <c r="X19">
        <v>50</v>
      </c>
      <c r="Y19">
        <v>0</v>
      </c>
      <c r="Z19">
        <v>1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3</v>
      </c>
      <c r="AI19">
        <v>2</v>
      </c>
      <c r="AJ19">
        <v>-2</v>
      </c>
      <c r="AK19">
        <v>-9</v>
      </c>
      <c r="AL19">
        <v>2.88</v>
      </c>
      <c r="AM19">
        <v>0.40279720279720282</v>
      </c>
      <c r="AN19">
        <v>26.6</v>
      </c>
      <c r="AO19">
        <v>34.72</v>
      </c>
      <c r="AP19">
        <v>1</v>
      </c>
      <c r="AQ19">
        <v>53.19</v>
      </c>
      <c r="AR19">
        <v>0</v>
      </c>
      <c r="AS19">
        <v>46.81</v>
      </c>
    </row>
    <row r="20" spans="1:45" x14ac:dyDescent="0.25">
      <c r="A20" t="s">
        <v>46</v>
      </c>
      <c r="B20">
        <v>3</v>
      </c>
      <c r="C20" t="s">
        <v>45</v>
      </c>
      <c r="D20" t="s">
        <v>59</v>
      </c>
      <c r="E20" t="s">
        <v>60</v>
      </c>
      <c r="F20" t="s">
        <v>65</v>
      </c>
      <c r="G20">
        <v>0</v>
      </c>
      <c r="H20">
        <v>0</v>
      </c>
      <c r="I20">
        <v>22</v>
      </c>
      <c r="J20" t="s">
        <v>84</v>
      </c>
      <c r="K20">
        <v>19.5</v>
      </c>
      <c r="L20">
        <v>0</v>
      </c>
      <c r="M20">
        <v>0</v>
      </c>
      <c r="N20">
        <v>3</v>
      </c>
      <c r="O20">
        <v>0</v>
      </c>
      <c r="P20">
        <v>0</v>
      </c>
      <c r="Q20">
        <v>1</v>
      </c>
      <c r="R20">
        <v>0</v>
      </c>
      <c r="S20">
        <v>0</v>
      </c>
      <c r="T20">
        <v>4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</v>
      </c>
      <c r="AI20">
        <v>0</v>
      </c>
      <c r="AJ20">
        <v>-1</v>
      </c>
      <c r="AK20">
        <v>-13</v>
      </c>
      <c r="AL20">
        <v>4</v>
      </c>
      <c r="AM20">
        <v>0.20512820512820509</v>
      </c>
      <c r="AN20">
        <v>0</v>
      </c>
      <c r="AO20">
        <v>0</v>
      </c>
      <c r="AP20">
        <v>0</v>
      </c>
      <c r="AQ20">
        <v>75</v>
      </c>
      <c r="AR20">
        <v>25</v>
      </c>
      <c r="AS20">
        <v>0</v>
      </c>
    </row>
    <row r="21" spans="1:45" x14ac:dyDescent="0.25">
      <c r="A21" t="s">
        <v>46</v>
      </c>
      <c r="B21">
        <v>3</v>
      </c>
      <c r="C21" t="s">
        <v>45</v>
      </c>
      <c r="D21" t="s">
        <v>59</v>
      </c>
      <c r="E21" t="s">
        <v>60</v>
      </c>
      <c r="F21" t="s">
        <v>65</v>
      </c>
      <c r="G21">
        <v>0</v>
      </c>
      <c r="H21">
        <v>0</v>
      </c>
      <c r="I21">
        <v>23</v>
      </c>
      <c r="J21" t="s">
        <v>85</v>
      </c>
      <c r="K21">
        <v>20.116666666666671</v>
      </c>
      <c r="L21">
        <v>12</v>
      </c>
      <c r="M21">
        <v>5</v>
      </c>
      <c r="N21">
        <v>8</v>
      </c>
      <c r="O21">
        <v>62.5</v>
      </c>
      <c r="P21">
        <v>0</v>
      </c>
      <c r="Q21">
        <v>0</v>
      </c>
      <c r="R21">
        <v>0</v>
      </c>
      <c r="S21">
        <v>5</v>
      </c>
      <c r="T21">
        <v>8</v>
      </c>
      <c r="U21">
        <v>62.5</v>
      </c>
      <c r="V21">
        <v>2</v>
      </c>
      <c r="W21">
        <v>4</v>
      </c>
      <c r="X21">
        <v>50</v>
      </c>
      <c r="Y21">
        <v>0</v>
      </c>
      <c r="Z21">
        <v>4</v>
      </c>
      <c r="AA21">
        <v>4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2</v>
      </c>
      <c r="AI21">
        <v>2</v>
      </c>
      <c r="AJ21">
        <v>10</v>
      </c>
      <c r="AK21">
        <v>-8</v>
      </c>
      <c r="AL21">
        <v>10.76</v>
      </c>
      <c r="AM21">
        <v>0.53487986743993365</v>
      </c>
      <c r="AN21">
        <v>61.48</v>
      </c>
      <c r="AO21">
        <v>9.2899999999999991</v>
      </c>
      <c r="AP21">
        <v>0.25</v>
      </c>
      <c r="AQ21">
        <v>81.97</v>
      </c>
      <c r="AR21">
        <v>0</v>
      </c>
      <c r="AS21">
        <v>18.03</v>
      </c>
    </row>
    <row r="22" spans="1:45" x14ac:dyDescent="0.25">
      <c r="A22" t="s">
        <v>46</v>
      </c>
      <c r="B22">
        <v>3</v>
      </c>
      <c r="C22" t="s">
        <v>45</v>
      </c>
      <c r="D22" t="s">
        <v>59</v>
      </c>
      <c r="E22" t="s">
        <v>60</v>
      </c>
      <c r="F22" t="s">
        <v>65</v>
      </c>
      <c r="G22">
        <v>0</v>
      </c>
      <c r="H22">
        <v>0</v>
      </c>
      <c r="I22">
        <v>30</v>
      </c>
      <c r="J22" t="s">
        <v>86</v>
      </c>
      <c r="K22">
        <v>25.283333333333331</v>
      </c>
      <c r="L22">
        <v>16</v>
      </c>
      <c r="M22">
        <v>3</v>
      </c>
      <c r="N22">
        <v>6</v>
      </c>
      <c r="O22">
        <v>50</v>
      </c>
      <c r="P22">
        <v>2</v>
      </c>
      <c r="Q22">
        <v>7</v>
      </c>
      <c r="R22">
        <v>28.6</v>
      </c>
      <c r="S22">
        <v>5</v>
      </c>
      <c r="T22">
        <v>13</v>
      </c>
      <c r="U22">
        <v>38.5</v>
      </c>
      <c r="V22">
        <v>4</v>
      </c>
      <c r="W22">
        <v>7</v>
      </c>
      <c r="X22">
        <v>57.1</v>
      </c>
      <c r="Y22">
        <v>1</v>
      </c>
      <c r="Z22">
        <v>2</v>
      </c>
      <c r="AA22">
        <v>3</v>
      </c>
      <c r="AB22">
        <v>3</v>
      </c>
      <c r="AC22">
        <v>3</v>
      </c>
      <c r="AD22">
        <v>1</v>
      </c>
      <c r="AE22">
        <v>0</v>
      </c>
      <c r="AF22">
        <v>0</v>
      </c>
      <c r="AG22">
        <v>0</v>
      </c>
      <c r="AH22">
        <v>4</v>
      </c>
      <c r="AI22">
        <v>5</v>
      </c>
      <c r="AJ22">
        <v>14</v>
      </c>
      <c r="AK22">
        <v>3</v>
      </c>
      <c r="AL22">
        <v>17.079999999999998</v>
      </c>
      <c r="AM22">
        <v>0.67554383651944616</v>
      </c>
      <c r="AN22">
        <v>49.75</v>
      </c>
      <c r="AO22">
        <v>5.85</v>
      </c>
      <c r="AP22">
        <v>0.30769230769230771</v>
      </c>
      <c r="AQ22">
        <v>37.31</v>
      </c>
      <c r="AR22">
        <v>43.53</v>
      </c>
      <c r="AS22">
        <v>19.149999999999999</v>
      </c>
    </row>
    <row r="23" spans="1:45" x14ac:dyDescent="0.25">
      <c r="A23" t="s">
        <v>46</v>
      </c>
      <c r="B23">
        <v>3</v>
      </c>
      <c r="C23" t="s">
        <v>45</v>
      </c>
      <c r="D23" t="s">
        <v>59</v>
      </c>
      <c r="E23" t="s">
        <v>60</v>
      </c>
      <c r="F23" t="s">
        <v>65</v>
      </c>
      <c r="G23">
        <v>0</v>
      </c>
      <c r="H23">
        <v>0</v>
      </c>
      <c r="J23" t="s">
        <v>76</v>
      </c>
      <c r="K23">
        <v>200</v>
      </c>
      <c r="L23">
        <v>79</v>
      </c>
      <c r="M23">
        <v>17</v>
      </c>
      <c r="N23">
        <v>37</v>
      </c>
      <c r="O23">
        <v>45.9</v>
      </c>
      <c r="P23">
        <v>9</v>
      </c>
      <c r="Q23">
        <v>25</v>
      </c>
      <c r="R23">
        <v>36</v>
      </c>
      <c r="S23">
        <v>26</v>
      </c>
      <c r="T23">
        <v>62</v>
      </c>
      <c r="U23">
        <v>41.9</v>
      </c>
      <c r="V23">
        <v>18</v>
      </c>
      <c r="W23">
        <v>28</v>
      </c>
      <c r="X23">
        <v>64.3</v>
      </c>
      <c r="Y23">
        <v>4</v>
      </c>
      <c r="Z23">
        <v>25</v>
      </c>
      <c r="AA23">
        <v>29</v>
      </c>
      <c r="AB23">
        <v>20</v>
      </c>
      <c r="AC23">
        <v>8</v>
      </c>
      <c r="AD23">
        <v>11</v>
      </c>
      <c r="AE23">
        <v>1</v>
      </c>
      <c r="AF23">
        <v>1</v>
      </c>
      <c r="AG23">
        <v>0</v>
      </c>
      <c r="AH23">
        <v>23</v>
      </c>
      <c r="AI23">
        <v>24</v>
      </c>
      <c r="AJ23">
        <v>81</v>
      </c>
      <c r="AL23">
        <v>85.32</v>
      </c>
      <c r="AM23">
        <v>0.42659999999999998</v>
      </c>
      <c r="AN23">
        <v>53.15</v>
      </c>
      <c r="AO23">
        <v>12.89</v>
      </c>
      <c r="AP23">
        <v>0.29032258064516131</v>
      </c>
      <c r="AQ23">
        <v>49.78</v>
      </c>
      <c r="AR23">
        <v>33.64</v>
      </c>
      <c r="AS23">
        <v>16.579999999999998</v>
      </c>
    </row>
    <row r="24" spans="1:45" x14ac:dyDescent="0.25">
      <c r="A24" t="s">
        <v>47</v>
      </c>
      <c r="B24">
        <v>3</v>
      </c>
      <c r="C24" t="s">
        <v>48</v>
      </c>
      <c r="D24" t="s">
        <v>59</v>
      </c>
      <c r="E24" t="s">
        <v>60</v>
      </c>
      <c r="F24" t="s">
        <v>64</v>
      </c>
      <c r="G24">
        <v>1</v>
      </c>
      <c r="H24">
        <v>1</v>
      </c>
      <c r="I24">
        <v>1</v>
      </c>
      <c r="J24" t="s">
        <v>87</v>
      </c>
      <c r="K24">
        <v>21.833333333333329</v>
      </c>
      <c r="L24">
        <v>6</v>
      </c>
      <c r="M24">
        <v>0</v>
      </c>
      <c r="N24">
        <v>2</v>
      </c>
      <c r="O24">
        <v>0</v>
      </c>
      <c r="P24">
        <v>2</v>
      </c>
      <c r="Q24">
        <v>3</v>
      </c>
      <c r="R24">
        <v>66.7</v>
      </c>
      <c r="S24">
        <v>2</v>
      </c>
      <c r="T24">
        <v>5</v>
      </c>
      <c r="U24">
        <v>40</v>
      </c>
      <c r="V24">
        <v>0</v>
      </c>
      <c r="W24">
        <v>0</v>
      </c>
      <c r="X24">
        <v>0</v>
      </c>
      <c r="Y24">
        <v>0</v>
      </c>
      <c r="Z24">
        <v>5</v>
      </c>
      <c r="AA24">
        <v>5</v>
      </c>
      <c r="AB24">
        <v>0</v>
      </c>
      <c r="AC24">
        <v>1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</v>
      </c>
      <c r="AK24">
        <v>8</v>
      </c>
      <c r="AL24">
        <v>7</v>
      </c>
      <c r="AM24">
        <v>0.3206106870229008</v>
      </c>
      <c r="AN24">
        <v>60</v>
      </c>
      <c r="AO24">
        <v>28.57</v>
      </c>
      <c r="AP24">
        <v>0</v>
      </c>
      <c r="AQ24">
        <v>40</v>
      </c>
      <c r="AR24">
        <v>60</v>
      </c>
      <c r="AS24">
        <v>0</v>
      </c>
    </row>
    <row r="25" spans="1:45" x14ac:dyDescent="0.25">
      <c r="A25" t="s">
        <v>47</v>
      </c>
      <c r="B25">
        <v>3</v>
      </c>
      <c r="C25" t="s">
        <v>48</v>
      </c>
      <c r="D25" t="s">
        <v>59</v>
      </c>
      <c r="E25" t="s">
        <v>60</v>
      </c>
      <c r="F25" t="s">
        <v>64</v>
      </c>
      <c r="G25">
        <v>1</v>
      </c>
      <c r="H25">
        <v>0</v>
      </c>
      <c r="I25">
        <v>5</v>
      </c>
      <c r="J25" t="s">
        <v>88</v>
      </c>
      <c r="K25">
        <v>16.899999999999999</v>
      </c>
      <c r="L25">
        <v>10</v>
      </c>
      <c r="M25">
        <v>3</v>
      </c>
      <c r="N25">
        <v>6</v>
      </c>
      <c r="O25">
        <v>50</v>
      </c>
      <c r="P25">
        <v>1</v>
      </c>
      <c r="Q25">
        <v>2</v>
      </c>
      <c r="R25">
        <v>50</v>
      </c>
      <c r="S25">
        <v>4</v>
      </c>
      <c r="T25">
        <v>8</v>
      </c>
      <c r="U25">
        <v>50</v>
      </c>
      <c r="V25">
        <v>1</v>
      </c>
      <c r="W25">
        <v>2</v>
      </c>
      <c r="X25">
        <v>50</v>
      </c>
      <c r="Y25">
        <v>1</v>
      </c>
      <c r="Z25">
        <v>5</v>
      </c>
      <c r="AA25">
        <v>6</v>
      </c>
      <c r="AB25">
        <v>0</v>
      </c>
      <c r="AC25">
        <v>4</v>
      </c>
      <c r="AD25">
        <v>2</v>
      </c>
      <c r="AE25">
        <v>0</v>
      </c>
      <c r="AF25">
        <v>0</v>
      </c>
      <c r="AG25">
        <v>0</v>
      </c>
      <c r="AH25">
        <v>4</v>
      </c>
      <c r="AI25">
        <v>2</v>
      </c>
      <c r="AJ25">
        <v>11</v>
      </c>
      <c r="AK25">
        <v>21</v>
      </c>
      <c r="AL25">
        <v>10.88</v>
      </c>
      <c r="AM25">
        <v>0.64378698224852082</v>
      </c>
      <c r="AN25">
        <v>56.31</v>
      </c>
      <c r="AO25">
        <v>18.38</v>
      </c>
      <c r="AP25">
        <v>0.125</v>
      </c>
      <c r="AQ25">
        <v>67.569999999999993</v>
      </c>
      <c r="AR25">
        <v>22.52</v>
      </c>
      <c r="AS25">
        <v>9.91</v>
      </c>
    </row>
    <row r="26" spans="1:45" x14ac:dyDescent="0.25">
      <c r="A26" t="s">
        <v>47</v>
      </c>
      <c r="B26">
        <v>3</v>
      </c>
      <c r="C26" t="s">
        <v>48</v>
      </c>
      <c r="D26" t="s">
        <v>59</v>
      </c>
      <c r="E26" t="s">
        <v>60</v>
      </c>
      <c r="F26" t="s">
        <v>64</v>
      </c>
      <c r="G26">
        <v>1</v>
      </c>
      <c r="H26">
        <v>1</v>
      </c>
      <c r="I26">
        <v>6</v>
      </c>
      <c r="J26" t="s">
        <v>89</v>
      </c>
      <c r="K26">
        <v>21.93333333333333</v>
      </c>
      <c r="L26">
        <v>10</v>
      </c>
      <c r="M26">
        <v>3</v>
      </c>
      <c r="N26">
        <v>6</v>
      </c>
      <c r="O26">
        <v>50</v>
      </c>
      <c r="P26">
        <v>0</v>
      </c>
      <c r="Q26">
        <v>2</v>
      </c>
      <c r="R26">
        <v>0</v>
      </c>
      <c r="S26">
        <v>3</v>
      </c>
      <c r="T26">
        <v>8</v>
      </c>
      <c r="U26">
        <v>37.5</v>
      </c>
      <c r="V26">
        <v>4</v>
      </c>
      <c r="W26">
        <v>4</v>
      </c>
      <c r="X26">
        <v>100</v>
      </c>
      <c r="Y26">
        <v>0</v>
      </c>
      <c r="Z26">
        <v>4</v>
      </c>
      <c r="AA26">
        <v>4</v>
      </c>
      <c r="AB26">
        <v>5</v>
      </c>
      <c r="AC26">
        <v>2</v>
      </c>
      <c r="AD26">
        <v>5</v>
      </c>
      <c r="AE26">
        <v>0</v>
      </c>
      <c r="AF26">
        <v>0</v>
      </c>
      <c r="AG26">
        <v>0</v>
      </c>
      <c r="AH26">
        <v>2</v>
      </c>
      <c r="AI26">
        <v>4</v>
      </c>
      <c r="AJ26">
        <v>13</v>
      </c>
      <c r="AK26">
        <v>25</v>
      </c>
      <c r="AL26">
        <v>14.76</v>
      </c>
      <c r="AM26">
        <v>0.67294832826747719</v>
      </c>
      <c r="AN26">
        <v>51.23</v>
      </c>
      <c r="AO26">
        <v>33.880000000000003</v>
      </c>
      <c r="AP26">
        <v>0.5</v>
      </c>
      <c r="AQ26">
        <v>61.48</v>
      </c>
      <c r="AR26">
        <v>20.49</v>
      </c>
      <c r="AS26">
        <v>18.03</v>
      </c>
    </row>
    <row r="27" spans="1:45" x14ac:dyDescent="0.25">
      <c r="A27" t="s">
        <v>47</v>
      </c>
      <c r="B27">
        <v>3</v>
      </c>
      <c r="C27" t="s">
        <v>48</v>
      </c>
      <c r="D27" t="s">
        <v>59</v>
      </c>
      <c r="E27" t="s">
        <v>60</v>
      </c>
      <c r="F27" t="s">
        <v>64</v>
      </c>
      <c r="G27">
        <v>1</v>
      </c>
      <c r="H27">
        <v>0</v>
      </c>
      <c r="I27">
        <v>8</v>
      </c>
      <c r="J27" t="s">
        <v>90</v>
      </c>
      <c r="K27">
        <v>19.733333333333331</v>
      </c>
      <c r="L27">
        <v>0</v>
      </c>
      <c r="M27">
        <v>0</v>
      </c>
      <c r="N27">
        <v>1</v>
      </c>
      <c r="O27">
        <v>0</v>
      </c>
      <c r="P27">
        <v>0</v>
      </c>
      <c r="Q27">
        <v>2</v>
      </c>
      <c r="R27">
        <v>0</v>
      </c>
      <c r="S27">
        <v>0</v>
      </c>
      <c r="T27">
        <v>3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2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2</v>
      </c>
      <c r="AJ27">
        <v>1</v>
      </c>
      <c r="AK27">
        <v>10</v>
      </c>
      <c r="AL27">
        <v>4</v>
      </c>
      <c r="AM27">
        <v>0.20270270270270269</v>
      </c>
      <c r="AN27">
        <v>0</v>
      </c>
      <c r="AO27">
        <v>25</v>
      </c>
      <c r="AP27">
        <v>0</v>
      </c>
      <c r="AQ27">
        <v>33.33</v>
      </c>
      <c r="AR27">
        <v>66.67</v>
      </c>
      <c r="AS27">
        <v>0</v>
      </c>
    </row>
    <row r="28" spans="1:45" x14ac:dyDescent="0.25">
      <c r="A28" t="s">
        <v>47</v>
      </c>
      <c r="B28">
        <v>3</v>
      </c>
      <c r="C28" t="s">
        <v>48</v>
      </c>
      <c r="D28" t="s">
        <v>59</v>
      </c>
      <c r="E28" t="s">
        <v>60</v>
      </c>
      <c r="F28" t="s">
        <v>64</v>
      </c>
      <c r="G28">
        <v>1</v>
      </c>
      <c r="H28">
        <v>0</v>
      </c>
      <c r="I28">
        <v>10</v>
      </c>
      <c r="J28" t="s">
        <v>91</v>
      </c>
      <c r="K28">
        <v>17.100000000000001</v>
      </c>
      <c r="L28">
        <v>8</v>
      </c>
      <c r="M28">
        <v>1</v>
      </c>
      <c r="N28">
        <v>2</v>
      </c>
      <c r="O28">
        <v>50</v>
      </c>
      <c r="P28">
        <v>2</v>
      </c>
      <c r="Q28">
        <v>3</v>
      </c>
      <c r="R28">
        <v>66.7</v>
      </c>
      <c r="S28">
        <v>3</v>
      </c>
      <c r="T28">
        <v>5</v>
      </c>
      <c r="U28">
        <v>60</v>
      </c>
      <c r="V28">
        <v>0</v>
      </c>
      <c r="W28">
        <v>0</v>
      </c>
      <c r="X28">
        <v>0</v>
      </c>
      <c r="Y28">
        <v>2</v>
      </c>
      <c r="Z28">
        <v>0</v>
      </c>
      <c r="AA28">
        <v>2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8</v>
      </c>
      <c r="AK28">
        <v>12</v>
      </c>
      <c r="AL28">
        <v>6</v>
      </c>
      <c r="AM28">
        <v>0.35087719298245612</v>
      </c>
      <c r="AN28">
        <v>80</v>
      </c>
      <c r="AO28">
        <v>16.670000000000002</v>
      </c>
      <c r="AP28">
        <v>0</v>
      </c>
      <c r="AQ28">
        <v>40</v>
      </c>
      <c r="AR28">
        <v>60</v>
      </c>
      <c r="AS28">
        <v>0</v>
      </c>
    </row>
    <row r="29" spans="1:45" x14ac:dyDescent="0.25">
      <c r="A29" t="s">
        <v>47</v>
      </c>
      <c r="B29">
        <v>3</v>
      </c>
      <c r="C29" t="s">
        <v>48</v>
      </c>
      <c r="D29" t="s">
        <v>59</v>
      </c>
      <c r="E29" t="s">
        <v>60</v>
      </c>
      <c r="F29" t="s">
        <v>64</v>
      </c>
      <c r="G29">
        <v>1</v>
      </c>
      <c r="H29">
        <v>1</v>
      </c>
      <c r="I29">
        <v>11</v>
      </c>
      <c r="J29" t="s">
        <v>92</v>
      </c>
      <c r="K29">
        <v>18.350000000000001</v>
      </c>
      <c r="L29">
        <v>2</v>
      </c>
      <c r="M29">
        <v>1</v>
      </c>
      <c r="N29">
        <v>2</v>
      </c>
      <c r="O29">
        <v>50</v>
      </c>
      <c r="P29">
        <v>0</v>
      </c>
      <c r="Q29">
        <v>1</v>
      </c>
      <c r="R29">
        <v>0</v>
      </c>
      <c r="S29">
        <v>1</v>
      </c>
      <c r="T29">
        <v>3</v>
      </c>
      <c r="U29">
        <v>33.299999999999997</v>
      </c>
      <c r="V29">
        <v>0</v>
      </c>
      <c r="W29">
        <v>0</v>
      </c>
      <c r="X29">
        <v>0</v>
      </c>
      <c r="Y29">
        <v>1</v>
      </c>
      <c r="Z29">
        <v>2</v>
      </c>
      <c r="AA29">
        <v>3</v>
      </c>
      <c r="AB29">
        <v>0</v>
      </c>
      <c r="AC29">
        <v>0</v>
      </c>
      <c r="AD29">
        <v>2</v>
      </c>
      <c r="AE29">
        <v>0</v>
      </c>
      <c r="AF29">
        <v>0</v>
      </c>
      <c r="AG29">
        <v>0</v>
      </c>
      <c r="AH29">
        <v>2</v>
      </c>
      <c r="AI29">
        <v>0</v>
      </c>
      <c r="AJ29">
        <v>-1</v>
      </c>
      <c r="AK29">
        <v>4</v>
      </c>
      <c r="AL29">
        <v>5</v>
      </c>
      <c r="AM29">
        <v>0.27247956403269752</v>
      </c>
      <c r="AN29">
        <v>33.33</v>
      </c>
      <c r="AO29">
        <v>40</v>
      </c>
      <c r="AP29">
        <v>0</v>
      </c>
      <c r="AQ29">
        <v>66.67</v>
      </c>
      <c r="AR29">
        <v>33.33</v>
      </c>
      <c r="AS29">
        <v>0</v>
      </c>
    </row>
    <row r="30" spans="1:45" x14ac:dyDescent="0.25">
      <c r="A30" t="s">
        <v>47</v>
      </c>
      <c r="B30">
        <v>3</v>
      </c>
      <c r="C30" t="s">
        <v>48</v>
      </c>
      <c r="D30" t="s">
        <v>59</v>
      </c>
      <c r="E30" t="s">
        <v>60</v>
      </c>
      <c r="F30" t="s">
        <v>64</v>
      </c>
      <c r="G30">
        <v>1</v>
      </c>
      <c r="H30">
        <v>0</v>
      </c>
      <c r="I30">
        <v>14</v>
      </c>
      <c r="J30" t="s">
        <v>93</v>
      </c>
      <c r="K30">
        <v>23.75</v>
      </c>
      <c r="L30">
        <v>11</v>
      </c>
      <c r="M30">
        <v>4</v>
      </c>
      <c r="N30">
        <v>6</v>
      </c>
      <c r="O30">
        <v>66.7</v>
      </c>
      <c r="P30">
        <v>0</v>
      </c>
      <c r="Q30">
        <v>1</v>
      </c>
      <c r="R30">
        <v>0</v>
      </c>
      <c r="S30">
        <v>4</v>
      </c>
      <c r="T30">
        <v>7</v>
      </c>
      <c r="U30">
        <v>57.1</v>
      </c>
      <c r="V30">
        <v>3</v>
      </c>
      <c r="W30">
        <v>6</v>
      </c>
      <c r="X30">
        <v>50</v>
      </c>
      <c r="Y30">
        <v>1</v>
      </c>
      <c r="Z30">
        <v>8</v>
      </c>
      <c r="AA30">
        <v>9</v>
      </c>
      <c r="AB30">
        <v>3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3</v>
      </c>
      <c r="AI30">
        <v>4</v>
      </c>
      <c r="AJ30">
        <v>17</v>
      </c>
      <c r="AK30">
        <v>30</v>
      </c>
      <c r="AL30">
        <v>10.64</v>
      </c>
      <c r="AM30">
        <v>0.44800000000000001</v>
      </c>
      <c r="AN30">
        <v>57.05</v>
      </c>
      <c r="AO30">
        <v>9.4</v>
      </c>
      <c r="AP30">
        <v>0.42857142857142849</v>
      </c>
      <c r="AQ30">
        <v>62.24</v>
      </c>
      <c r="AR30">
        <v>10.37</v>
      </c>
      <c r="AS30">
        <v>27.39</v>
      </c>
    </row>
    <row r="31" spans="1:45" x14ac:dyDescent="0.25">
      <c r="A31" t="s">
        <v>47</v>
      </c>
      <c r="B31">
        <v>3</v>
      </c>
      <c r="C31" t="s">
        <v>48</v>
      </c>
      <c r="D31" t="s">
        <v>59</v>
      </c>
      <c r="E31" t="s">
        <v>60</v>
      </c>
      <c r="F31" t="s">
        <v>64</v>
      </c>
      <c r="G31">
        <v>1</v>
      </c>
      <c r="H31">
        <v>1</v>
      </c>
      <c r="I31">
        <v>15</v>
      </c>
      <c r="J31" t="s">
        <v>94</v>
      </c>
      <c r="K31">
        <v>22.5</v>
      </c>
      <c r="L31">
        <v>10</v>
      </c>
      <c r="M31">
        <v>3</v>
      </c>
      <c r="N31">
        <v>5</v>
      </c>
      <c r="O31">
        <v>60</v>
      </c>
      <c r="P31">
        <v>1</v>
      </c>
      <c r="Q31">
        <v>2</v>
      </c>
      <c r="R31">
        <v>50</v>
      </c>
      <c r="S31">
        <v>4</v>
      </c>
      <c r="T31">
        <v>7</v>
      </c>
      <c r="U31">
        <v>57.1</v>
      </c>
      <c r="V31">
        <v>1</v>
      </c>
      <c r="W31">
        <v>4</v>
      </c>
      <c r="X31">
        <v>25</v>
      </c>
      <c r="Y31">
        <v>2</v>
      </c>
      <c r="Z31">
        <v>1</v>
      </c>
      <c r="AA31">
        <v>3</v>
      </c>
      <c r="AB31">
        <v>1</v>
      </c>
      <c r="AC31">
        <v>3</v>
      </c>
      <c r="AD31">
        <v>4</v>
      </c>
      <c r="AE31">
        <v>0</v>
      </c>
      <c r="AF31">
        <v>0</v>
      </c>
      <c r="AG31">
        <v>0</v>
      </c>
      <c r="AH31">
        <v>0</v>
      </c>
      <c r="AI31">
        <v>6</v>
      </c>
      <c r="AJ31">
        <v>13</v>
      </c>
      <c r="AK31">
        <v>17</v>
      </c>
      <c r="AL31">
        <v>12.76</v>
      </c>
      <c r="AM31">
        <v>0.56711111111111112</v>
      </c>
      <c r="AN31">
        <v>57.08</v>
      </c>
      <c r="AO31">
        <v>31.35</v>
      </c>
      <c r="AP31">
        <v>0.14285714285714279</v>
      </c>
      <c r="AQ31">
        <v>57.08</v>
      </c>
      <c r="AR31">
        <v>22.83</v>
      </c>
      <c r="AS31">
        <v>20.09</v>
      </c>
    </row>
    <row r="32" spans="1:45" x14ac:dyDescent="0.25">
      <c r="A32" t="s">
        <v>47</v>
      </c>
      <c r="B32">
        <v>3</v>
      </c>
      <c r="C32" t="s">
        <v>48</v>
      </c>
      <c r="D32" t="s">
        <v>59</v>
      </c>
      <c r="E32" t="s">
        <v>60</v>
      </c>
      <c r="F32" t="s">
        <v>64</v>
      </c>
      <c r="G32">
        <v>1</v>
      </c>
      <c r="H32">
        <v>0</v>
      </c>
      <c r="I32">
        <v>17</v>
      </c>
      <c r="J32" t="s">
        <v>95</v>
      </c>
      <c r="K32">
        <v>7.7333333333333334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2</v>
      </c>
      <c r="AI32">
        <v>0</v>
      </c>
      <c r="AJ32">
        <v>-3</v>
      </c>
      <c r="AK32">
        <v>8</v>
      </c>
      <c r="AL32">
        <v>1</v>
      </c>
      <c r="AM32">
        <v>0.12931034482758619</v>
      </c>
      <c r="AO32">
        <v>100</v>
      </c>
      <c r="AQ32">
        <v>0</v>
      </c>
      <c r="AR32">
        <v>0</v>
      </c>
      <c r="AS32">
        <v>0</v>
      </c>
    </row>
    <row r="33" spans="1:45" x14ac:dyDescent="0.25">
      <c r="A33" t="s">
        <v>47</v>
      </c>
      <c r="B33">
        <v>3</v>
      </c>
      <c r="C33" t="s">
        <v>48</v>
      </c>
      <c r="D33" t="s">
        <v>59</v>
      </c>
      <c r="E33" t="s">
        <v>60</v>
      </c>
      <c r="F33" t="s">
        <v>64</v>
      </c>
      <c r="G33">
        <v>1</v>
      </c>
      <c r="H33">
        <v>1</v>
      </c>
      <c r="I33">
        <v>20</v>
      </c>
      <c r="J33" t="s">
        <v>96</v>
      </c>
      <c r="K33">
        <v>17.75</v>
      </c>
      <c r="L33">
        <v>10</v>
      </c>
      <c r="M33">
        <v>3</v>
      </c>
      <c r="N33">
        <v>8</v>
      </c>
      <c r="O33">
        <v>37.5</v>
      </c>
      <c r="P33">
        <v>0</v>
      </c>
      <c r="Q33">
        <v>0</v>
      </c>
      <c r="R33">
        <v>0</v>
      </c>
      <c r="S33">
        <v>3</v>
      </c>
      <c r="T33">
        <v>8</v>
      </c>
      <c r="U33">
        <v>37.5</v>
      </c>
      <c r="V33">
        <v>4</v>
      </c>
      <c r="W33">
        <v>4</v>
      </c>
      <c r="X33">
        <v>100</v>
      </c>
      <c r="Y33">
        <v>5</v>
      </c>
      <c r="Z33">
        <v>6</v>
      </c>
      <c r="AA33">
        <v>11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3</v>
      </c>
      <c r="AI33">
        <v>4</v>
      </c>
      <c r="AJ33">
        <v>16</v>
      </c>
      <c r="AK33">
        <v>4</v>
      </c>
      <c r="AL33">
        <v>10.76</v>
      </c>
      <c r="AM33">
        <v>0.6061971830985915</v>
      </c>
      <c r="AN33">
        <v>51.23</v>
      </c>
      <c r="AO33">
        <v>9.2899999999999991</v>
      </c>
      <c r="AP33">
        <v>0.5</v>
      </c>
      <c r="AQ33">
        <v>81.97</v>
      </c>
      <c r="AR33">
        <v>0</v>
      </c>
      <c r="AS33">
        <v>18.03</v>
      </c>
    </row>
    <row r="34" spans="1:45" x14ac:dyDescent="0.25">
      <c r="A34" t="s">
        <v>47</v>
      </c>
      <c r="B34">
        <v>3</v>
      </c>
      <c r="C34" t="s">
        <v>48</v>
      </c>
      <c r="D34" t="s">
        <v>59</v>
      </c>
      <c r="E34" t="s">
        <v>60</v>
      </c>
      <c r="F34" t="s">
        <v>64</v>
      </c>
      <c r="G34">
        <v>1</v>
      </c>
      <c r="H34">
        <v>0</v>
      </c>
      <c r="I34">
        <v>21</v>
      </c>
      <c r="J34" t="s">
        <v>97</v>
      </c>
      <c r="K34">
        <v>12.41666666666667</v>
      </c>
      <c r="L34">
        <v>5</v>
      </c>
      <c r="M34">
        <v>2</v>
      </c>
      <c r="N34">
        <v>2</v>
      </c>
      <c r="O34">
        <v>100</v>
      </c>
      <c r="P34">
        <v>0</v>
      </c>
      <c r="Q34">
        <v>1</v>
      </c>
      <c r="R34">
        <v>0</v>
      </c>
      <c r="S34">
        <v>2</v>
      </c>
      <c r="T34">
        <v>3</v>
      </c>
      <c r="U34">
        <v>66.7</v>
      </c>
      <c r="V34">
        <v>1</v>
      </c>
      <c r="W34">
        <v>2</v>
      </c>
      <c r="X34">
        <v>50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4</v>
      </c>
      <c r="AK34">
        <v>16</v>
      </c>
      <c r="AL34">
        <v>3.88</v>
      </c>
      <c r="AM34">
        <v>0.31248322147651009</v>
      </c>
      <c r="AN34">
        <v>64.430000000000007</v>
      </c>
      <c r="AO34">
        <v>0</v>
      </c>
      <c r="AP34">
        <v>0.33333333333333331</v>
      </c>
      <c r="AQ34">
        <v>51.55</v>
      </c>
      <c r="AR34">
        <v>25.77</v>
      </c>
      <c r="AS34">
        <v>22.68</v>
      </c>
    </row>
    <row r="35" spans="1:45" x14ac:dyDescent="0.25">
      <c r="A35" t="s">
        <v>47</v>
      </c>
      <c r="B35">
        <v>3</v>
      </c>
      <c r="C35" t="s">
        <v>48</v>
      </c>
      <c r="D35" t="s">
        <v>59</v>
      </c>
      <c r="E35" t="s">
        <v>60</v>
      </c>
      <c r="F35" t="s">
        <v>64</v>
      </c>
      <c r="G35">
        <v>1</v>
      </c>
      <c r="H35">
        <v>0</v>
      </c>
      <c r="J35" t="s">
        <v>76</v>
      </c>
      <c r="K35">
        <v>200</v>
      </c>
      <c r="L35">
        <v>72</v>
      </c>
      <c r="M35">
        <v>20</v>
      </c>
      <c r="N35">
        <v>40</v>
      </c>
      <c r="O35">
        <v>50</v>
      </c>
      <c r="P35">
        <v>6</v>
      </c>
      <c r="Q35">
        <v>17</v>
      </c>
      <c r="R35">
        <v>35.299999999999997</v>
      </c>
      <c r="S35">
        <v>26</v>
      </c>
      <c r="T35">
        <v>57</v>
      </c>
      <c r="U35">
        <v>45.6</v>
      </c>
      <c r="V35">
        <v>14</v>
      </c>
      <c r="W35">
        <v>22</v>
      </c>
      <c r="X35">
        <v>63.6</v>
      </c>
      <c r="Y35">
        <v>12</v>
      </c>
      <c r="Z35">
        <v>32</v>
      </c>
      <c r="AA35">
        <v>44</v>
      </c>
      <c r="AB35">
        <v>12</v>
      </c>
      <c r="AC35">
        <v>11</v>
      </c>
      <c r="AD35">
        <v>20</v>
      </c>
      <c r="AE35">
        <v>0</v>
      </c>
      <c r="AF35">
        <v>0</v>
      </c>
      <c r="AG35">
        <v>0</v>
      </c>
      <c r="AH35">
        <v>18</v>
      </c>
      <c r="AI35">
        <v>24</v>
      </c>
      <c r="AJ35">
        <v>86</v>
      </c>
      <c r="AL35">
        <v>86.68</v>
      </c>
      <c r="AM35">
        <v>0.43340000000000001</v>
      </c>
      <c r="AN35">
        <v>53.99</v>
      </c>
      <c r="AO35">
        <v>23.07</v>
      </c>
      <c r="AP35">
        <v>0.24561403508771931</v>
      </c>
      <c r="AQ35">
        <v>59.99</v>
      </c>
      <c r="AR35">
        <v>25.49</v>
      </c>
      <c r="AS35">
        <v>14.52</v>
      </c>
    </row>
    <row r="36" spans="1:45" x14ac:dyDescent="0.25">
      <c r="A36" t="s">
        <v>48</v>
      </c>
      <c r="B36">
        <v>3</v>
      </c>
      <c r="C36" t="s">
        <v>47</v>
      </c>
      <c r="D36" t="s">
        <v>59</v>
      </c>
      <c r="E36" t="s">
        <v>60</v>
      </c>
      <c r="F36" t="s">
        <v>65</v>
      </c>
      <c r="G36">
        <v>0</v>
      </c>
      <c r="H36">
        <v>0</v>
      </c>
      <c r="I36">
        <v>1</v>
      </c>
      <c r="J36" t="s">
        <v>98</v>
      </c>
      <c r="K36">
        <v>7.7166666666666668</v>
      </c>
      <c r="L36">
        <v>3</v>
      </c>
      <c r="M36">
        <v>0</v>
      </c>
      <c r="N36">
        <v>0</v>
      </c>
      <c r="O36">
        <v>0</v>
      </c>
      <c r="P36">
        <v>1</v>
      </c>
      <c r="Q36">
        <v>1</v>
      </c>
      <c r="R36">
        <v>100</v>
      </c>
      <c r="S36">
        <v>1</v>
      </c>
      <c r="T36">
        <v>1</v>
      </c>
      <c r="U36">
        <v>100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5</v>
      </c>
      <c r="AK36">
        <v>-6</v>
      </c>
      <c r="AL36">
        <v>1</v>
      </c>
      <c r="AM36">
        <v>0.12958963282937361</v>
      </c>
      <c r="AN36">
        <v>150</v>
      </c>
      <c r="AO36">
        <v>0</v>
      </c>
      <c r="AP36">
        <v>0</v>
      </c>
      <c r="AQ36">
        <v>0</v>
      </c>
      <c r="AR36">
        <v>100</v>
      </c>
      <c r="AS36">
        <v>0</v>
      </c>
    </row>
    <row r="37" spans="1:45" x14ac:dyDescent="0.25">
      <c r="A37" t="s">
        <v>48</v>
      </c>
      <c r="B37">
        <v>3</v>
      </c>
      <c r="C37" t="s">
        <v>47</v>
      </c>
      <c r="D37" t="s">
        <v>59</v>
      </c>
      <c r="E37" t="s">
        <v>60</v>
      </c>
      <c r="F37" t="s">
        <v>65</v>
      </c>
      <c r="G37">
        <v>0</v>
      </c>
      <c r="H37">
        <v>1</v>
      </c>
      <c r="I37">
        <v>4</v>
      </c>
      <c r="J37" t="s">
        <v>99</v>
      </c>
      <c r="K37">
        <v>18.716666666666669</v>
      </c>
      <c r="L37">
        <v>6</v>
      </c>
      <c r="M37">
        <v>3</v>
      </c>
      <c r="N37">
        <v>5</v>
      </c>
      <c r="O37">
        <v>60</v>
      </c>
      <c r="P37">
        <v>0</v>
      </c>
      <c r="Q37">
        <v>1</v>
      </c>
      <c r="R37">
        <v>0</v>
      </c>
      <c r="S37">
        <v>3</v>
      </c>
      <c r="T37">
        <v>6</v>
      </c>
      <c r="U37">
        <v>50</v>
      </c>
      <c r="V37">
        <v>0</v>
      </c>
      <c r="W37">
        <v>0</v>
      </c>
      <c r="X37">
        <v>0</v>
      </c>
      <c r="Y37">
        <v>2</v>
      </c>
      <c r="Z37">
        <v>3</v>
      </c>
      <c r="AA37">
        <v>5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7</v>
      </c>
      <c r="AK37">
        <v>-18</v>
      </c>
      <c r="AL37">
        <v>7</v>
      </c>
      <c r="AM37">
        <v>0.37399821905609981</v>
      </c>
      <c r="AN37">
        <v>50</v>
      </c>
      <c r="AO37">
        <v>14.29</v>
      </c>
      <c r="AP37">
        <v>0</v>
      </c>
      <c r="AQ37">
        <v>83.33</v>
      </c>
      <c r="AR37">
        <v>16.670000000000002</v>
      </c>
      <c r="AS37">
        <v>0</v>
      </c>
    </row>
    <row r="38" spans="1:45" x14ac:dyDescent="0.25">
      <c r="A38" t="s">
        <v>48</v>
      </c>
      <c r="B38">
        <v>3</v>
      </c>
      <c r="C38" t="s">
        <v>47</v>
      </c>
      <c r="D38" t="s">
        <v>59</v>
      </c>
      <c r="E38" t="s">
        <v>60</v>
      </c>
      <c r="F38" t="s">
        <v>65</v>
      </c>
      <c r="G38">
        <v>0</v>
      </c>
      <c r="H38">
        <v>0</v>
      </c>
      <c r="I38">
        <v>5</v>
      </c>
      <c r="J38" t="s">
        <v>100</v>
      </c>
      <c r="K38">
        <v>15.53333333333333</v>
      </c>
      <c r="L38">
        <v>0</v>
      </c>
      <c r="M38">
        <v>0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2</v>
      </c>
      <c r="AI38">
        <v>0</v>
      </c>
      <c r="AJ38">
        <v>-5</v>
      </c>
      <c r="AK38">
        <v>-22</v>
      </c>
      <c r="AL38">
        <v>4</v>
      </c>
      <c r="AM38">
        <v>0.25751072961373389</v>
      </c>
      <c r="AN38">
        <v>0</v>
      </c>
      <c r="AO38">
        <v>25</v>
      </c>
      <c r="AP38">
        <v>0</v>
      </c>
      <c r="AQ38">
        <v>100</v>
      </c>
      <c r="AR38">
        <v>0</v>
      </c>
      <c r="AS38">
        <v>0</v>
      </c>
    </row>
    <row r="39" spans="1:45" x14ac:dyDescent="0.25">
      <c r="A39" t="s">
        <v>48</v>
      </c>
      <c r="B39">
        <v>3</v>
      </c>
      <c r="C39" t="s">
        <v>47</v>
      </c>
      <c r="D39" t="s">
        <v>59</v>
      </c>
      <c r="E39" t="s">
        <v>60</v>
      </c>
      <c r="F39" t="s">
        <v>65</v>
      </c>
      <c r="G39">
        <v>0</v>
      </c>
      <c r="H39">
        <v>0</v>
      </c>
      <c r="I39">
        <v>6</v>
      </c>
      <c r="J39" t="s">
        <v>101</v>
      </c>
      <c r="K39">
        <v>14.16666666666667</v>
      </c>
      <c r="L39">
        <v>10</v>
      </c>
      <c r="M39">
        <v>3</v>
      </c>
      <c r="N39">
        <v>3</v>
      </c>
      <c r="O39">
        <v>100</v>
      </c>
      <c r="P39">
        <v>1</v>
      </c>
      <c r="Q39">
        <v>3</v>
      </c>
      <c r="R39">
        <v>33.299999999999997</v>
      </c>
      <c r="S39">
        <v>4</v>
      </c>
      <c r="T39">
        <v>6</v>
      </c>
      <c r="U39">
        <v>66.7</v>
      </c>
      <c r="V39">
        <v>1</v>
      </c>
      <c r="W39">
        <v>2</v>
      </c>
      <c r="X39">
        <v>50</v>
      </c>
      <c r="Y39">
        <v>0</v>
      </c>
      <c r="Z39">
        <v>2</v>
      </c>
      <c r="AA39">
        <v>2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2</v>
      </c>
      <c r="AJ39">
        <v>11</v>
      </c>
      <c r="AK39">
        <v>-7</v>
      </c>
      <c r="AL39">
        <v>6.88</v>
      </c>
      <c r="AM39">
        <v>0.48564705882352938</v>
      </c>
      <c r="AN39">
        <v>72.67</v>
      </c>
      <c r="AO39">
        <v>0</v>
      </c>
      <c r="AP39">
        <v>0.16666666666666671</v>
      </c>
      <c r="AQ39">
        <v>43.6</v>
      </c>
      <c r="AR39">
        <v>43.6</v>
      </c>
      <c r="AS39">
        <v>12.79</v>
      </c>
    </row>
    <row r="40" spans="1:45" x14ac:dyDescent="0.25">
      <c r="A40" t="s">
        <v>48</v>
      </c>
      <c r="B40">
        <v>3</v>
      </c>
      <c r="C40" t="s">
        <v>47</v>
      </c>
      <c r="D40" t="s">
        <v>59</v>
      </c>
      <c r="E40" t="s">
        <v>60</v>
      </c>
      <c r="F40" t="s">
        <v>65</v>
      </c>
      <c r="G40">
        <v>0</v>
      </c>
      <c r="H40">
        <v>1</v>
      </c>
      <c r="I40">
        <v>7</v>
      </c>
      <c r="J40" t="s">
        <v>102</v>
      </c>
      <c r="K40">
        <v>19.2</v>
      </c>
      <c r="L40">
        <v>1</v>
      </c>
      <c r="M40">
        <v>0</v>
      </c>
      <c r="N40">
        <v>0</v>
      </c>
      <c r="O40">
        <v>0</v>
      </c>
      <c r="P40">
        <v>0</v>
      </c>
      <c r="Q40">
        <v>4</v>
      </c>
      <c r="R40">
        <v>0</v>
      </c>
      <c r="S40">
        <v>0</v>
      </c>
      <c r="T40">
        <v>4</v>
      </c>
      <c r="U40">
        <v>0</v>
      </c>
      <c r="V40">
        <v>1</v>
      </c>
      <c r="W40">
        <v>2</v>
      </c>
      <c r="X40">
        <v>50</v>
      </c>
      <c r="Y40">
        <v>0</v>
      </c>
      <c r="Z40">
        <v>1</v>
      </c>
      <c r="AA40">
        <v>1</v>
      </c>
      <c r="AB40">
        <v>1</v>
      </c>
      <c r="AC40">
        <v>2</v>
      </c>
      <c r="AD40">
        <v>3</v>
      </c>
      <c r="AE40">
        <v>0</v>
      </c>
      <c r="AF40">
        <v>0</v>
      </c>
      <c r="AG40">
        <v>0</v>
      </c>
      <c r="AH40">
        <v>1</v>
      </c>
      <c r="AI40">
        <v>4</v>
      </c>
      <c r="AJ40">
        <v>0</v>
      </c>
      <c r="AK40">
        <v>-25</v>
      </c>
      <c r="AL40">
        <v>7.88</v>
      </c>
      <c r="AM40">
        <v>0.41041666666666671</v>
      </c>
      <c r="AN40">
        <v>10.25</v>
      </c>
      <c r="AO40">
        <v>38.07</v>
      </c>
      <c r="AP40">
        <v>0.25</v>
      </c>
      <c r="AQ40">
        <v>0</v>
      </c>
      <c r="AR40">
        <v>81.97</v>
      </c>
      <c r="AS40">
        <v>18.03</v>
      </c>
    </row>
    <row r="41" spans="1:45" x14ac:dyDescent="0.25">
      <c r="A41" t="s">
        <v>48</v>
      </c>
      <c r="B41">
        <v>3</v>
      </c>
      <c r="C41" t="s">
        <v>47</v>
      </c>
      <c r="D41" t="s">
        <v>59</v>
      </c>
      <c r="E41" t="s">
        <v>60</v>
      </c>
      <c r="F41" t="s">
        <v>65</v>
      </c>
      <c r="G41">
        <v>0</v>
      </c>
      <c r="H41">
        <v>1</v>
      </c>
      <c r="I41">
        <v>9</v>
      </c>
      <c r="J41" t="s">
        <v>103</v>
      </c>
      <c r="K41">
        <v>27.033333333333331</v>
      </c>
      <c r="L41">
        <v>2</v>
      </c>
      <c r="M41">
        <v>0</v>
      </c>
      <c r="N41">
        <v>1</v>
      </c>
      <c r="O41">
        <v>0</v>
      </c>
      <c r="P41">
        <v>0</v>
      </c>
      <c r="Q41">
        <v>2</v>
      </c>
      <c r="R41">
        <v>0</v>
      </c>
      <c r="S41">
        <v>0</v>
      </c>
      <c r="T41">
        <v>3</v>
      </c>
      <c r="U41">
        <v>0</v>
      </c>
      <c r="V41">
        <v>2</v>
      </c>
      <c r="W41">
        <v>4</v>
      </c>
      <c r="X41">
        <v>50</v>
      </c>
      <c r="Y41">
        <v>1</v>
      </c>
      <c r="Z41">
        <v>5</v>
      </c>
      <c r="AA41">
        <v>6</v>
      </c>
      <c r="AB41">
        <v>3</v>
      </c>
      <c r="AC41">
        <v>3</v>
      </c>
      <c r="AD41">
        <v>1</v>
      </c>
      <c r="AE41">
        <v>0</v>
      </c>
      <c r="AF41">
        <v>0</v>
      </c>
      <c r="AG41">
        <v>0</v>
      </c>
      <c r="AH41">
        <v>2</v>
      </c>
      <c r="AI41">
        <v>4</v>
      </c>
      <c r="AJ41">
        <v>10</v>
      </c>
      <c r="AK41">
        <v>-12</v>
      </c>
      <c r="AL41">
        <v>5.76</v>
      </c>
      <c r="AM41">
        <v>0.21307028360049321</v>
      </c>
      <c r="AN41">
        <v>21.01</v>
      </c>
      <c r="AO41">
        <v>17.36</v>
      </c>
      <c r="AP41">
        <v>0.66666666666666663</v>
      </c>
      <c r="AQ41">
        <v>21.01</v>
      </c>
      <c r="AR41">
        <v>42.02</v>
      </c>
      <c r="AS41">
        <v>36.97</v>
      </c>
    </row>
    <row r="42" spans="1:45" x14ac:dyDescent="0.25">
      <c r="A42" t="s">
        <v>48</v>
      </c>
      <c r="B42">
        <v>3</v>
      </c>
      <c r="C42" t="s">
        <v>47</v>
      </c>
      <c r="D42" t="s">
        <v>59</v>
      </c>
      <c r="E42" t="s">
        <v>60</v>
      </c>
      <c r="F42" t="s">
        <v>65</v>
      </c>
      <c r="G42">
        <v>0</v>
      </c>
      <c r="H42">
        <v>0</v>
      </c>
      <c r="I42">
        <v>11</v>
      </c>
      <c r="J42" t="s">
        <v>104</v>
      </c>
      <c r="K42">
        <v>14.9</v>
      </c>
      <c r="L42">
        <v>2</v>
      </c>
      <c r="M42">
        <v>1</v>
      </c>
      <c r="N42">
        <v>3</v>
      </c>
      <c r="O42">
        <v>33.299999999999997</v>
      </c>
      <c r="P42">
        <v>0</v>
      </c>
      <c r="Q42">
        <v>2</v>
      </c>
      <c r="R42">
        <v>0</v>
      </c>
      <c r="S42">
        <v>1</v>
      </c>
      <c r="T42">
        <v>5</v>
      </c>
      <c r="U42">
        <v>20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-2</v>
      </c>
      <c r="AK42">
        <v>-6</v>
      </c>
      <c r="AL42">
        <v>6</v>
      </c>
      <c r="AM42">
        <v>0.40268456375838918</v>
      </c>
      <c r="AN42">
        <v>20</v>
      </c>
      <c r="AO42">
        <v>16.670000000000002</v>
      </c>
      <c r="AP42">
        <v>0</v>
      </c>
      <c r="AQ42">
        <v>60</v>
      </c>
      <c r="AR42">
        <v>40</v>
      </c>
      <c r="AS42">
        <v>0</v>
      </c>
    </row>
    <row r="43" spans="1:45" x14ac:dyDescent="0.25">
      <c r="A43" t="s">
        <v>48</v>
      </c>
      <c r="B43">
        <v>3</v>
      </c>
      <c r="C43" t="s">
        <v>47</v>
      </c>
      <c r="D43" t="s">
        <v>59</v>
      </c>
      <c r="E43" t="s">
        <v>60</v>
      </c>
      <c r="F43" t="s">
        <v>65</v>
      </c>
      <c r="G43">
        <v>0</v>
      </c>
      <c r="H43">
        <v>1</v>
      </c>
      <c r="I43">
        <v>15</v>
      </c>
      <c r="J43" t="s">
        <v>105</v>
      </c>
      <c r="K43">
        <v>21.35</v>
      </c>
      <c r="L43">
        <v>11</v>
      </c>
      <c r="M43">
        <v>4</v>
      </c>
      <c r="N43">
        <v>9</v>
      </c>
      <c r="O43">
        <v>44.4</v>
      </c>
      <c r="P43">
        <v>1</v>
      </c>
      <c r="Q43">
        <v>4</v>
      </c>
      <c r="R43">
        <v>25</v>
      </c>
      <c r="S43">
        <v>5</v>
      </c>
      <c r="T43">
        <v>13</v>
      </c>
      <c r="U43">
        <v>38.5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1</v>
      </c>
      <c r="AC43">
        <v>2</v>
      </c>
      <c r="AD43">
        <v>4</v>
      </c>
      <c r="AE43">
        <v>0</v>
      </c>
      <c r="AF43">
        <v>0</v>
      </c>
      <c r="AG43">
        <v>0</v>
      </c>
      <c r="AH43">
        <v>4</v>
      </c>
      <c r="AI43">
        <v>1</v>
      </c>
      <c r="AJ43">
        <v>0</v>
      </c>
      <c r="AK43">
        <v>-20</v>
      </c>
      <c r="AL43">
        <v>17</v>
      </c>
      <c r="AM43">
        <v>0.79625292740046838</v>
      </c>
      <c r="AN43">
        <v>42.31</v>
      </c>
      <c r="AO43">
        <v>23.53</v>
      </c>
      <c r="AP43">
        <v>0</v>
      </c>
      <c r="AQ43">
        <v>69.23</v>
      </c>
      <c r="AR43">
        <v>30.77</v>
      </c>
      <c r="AS43">
        <v>0</v>
      </c>
    </row>
    <row r="44" spans="1:45" x14ac:dyDescent="0.25">
      <c r="A44" t="s">
        <v>48</v>
      </c>
      <c r="B44">
        <v>3</v>
      </c>
      <c r="C44" t="s">
        <v>47</v>
      </c>
      <c r="D44" t="s">
        <v>59</v>
      </c>
      <c r="E44" t="s">
        <v>60</v>
      </c>
      <c r="F44" t="s">
        <v>65</v>
      </c>
      <c r="G44">
        <v>0</v>
      </c>
      <c r="H44">
        <v>1</v>
      </c>
      <c r="I44">
        <v>32</v>
      </c>
      <c r="J44" t="s">
        <v>106</v>
      </c>
      <c r="K44">
        <v>17.833333333333329</v>
      </c>
      <c r="L44">
        <v>0</v>
      </c>
      <c r="M44">
        <v>0</v>
      </c>
      <c r="N44">
        <v>3</v>
      </c>
      <c r="O44">
        <v>0</v>
      </c>
      <c r="P44">
        <v>0</v>
      </c>
      <c r="Q44">
        <v>1</v>
      </c>
      <c r="R44">
        <v>0</v>
      </c>
      <c r="S44">
        <v>0</v>
      </c>
      <c r="T44">
        <v>4</v>
      </c>
      <c r="U44">
        <v>0</v>
      </c>
      <c r="V44">
        <v>0</v>
      </c>
      <c r="W44">
        <v>2</v>
      </c>
      <c r="X44">
        <v>0</v>
      </c>
      <c r="Y44">
        <v>0</v>
      </c>
      <c r="Z44">
        <v>3</v>
      </c>
      <c r="AA44">
        <v>3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2</v>
      </c>
      <c r="AI44">
        <v>2</v>
      </c>
      <c r="AJ44">
        <v>-3</v>
      </c>
      <c r="AK44">
        <v>-12</v>
      </c>
      <c r="AL44">
        <v>5.88</v>
      </c>
      <c r="AM44">
        <v>0.32971962616822431</v>
      </c>
      <c r="AN44">
        <v>0</v>
      </c>
      <c r="AO44">
        <v>17.010000000000002</v>
      </c>
      <c r="AP44">
        <v>0</v>
      </c>
      <c r="AQ44">
        <v>61.48</v>
      </c>
      <c r="AR44">
        <v>20.49</v>
      </c>
      <c r="AS44">
        <v>18.03</v>
      </c>
    </row>
    <row r="45" spans="1:45" x14ac:dyDescent="0.25">
      <c r="A45" t="s">
        <v>48</v>
      </c>
      <c r="B45">
        <v>3</v>
      </c>
      <c r="C45" t="s">
        <v>47</v>
      </c>
      <c r="D45" t="s">
        <v>59</v>
      </c>
      <c r="E45" t="s">
        <v>60</v>
      </c>
      <c r="F45" t="s">
        <v>65</v>
      </c>
      <c r="G45">
        <v>0</v>
      </c>
      <c r="H45">
        <v>0</v>
      </c>
      <c r="I45">
        <v>33</v>
      </c>
      <c r="J45" t="s">
        <v>107</v>
      </c>
      <c r="K45">
        <v>16.149999999999999</v>
      </c>
      <c r="L45">
        <v>3</v>
      </c>
      <c r="M45">
        <v>0</v>
      </c>
      <c r="N45">
        <v>3</v>
      </c>
      <c r="O45">
        <v>0</v>
      </c>
      <c r="P45">
        <v>1</v>
      </c>
      <c r="Q45">
        <v>3</v>
      </c>
      <c r="R45">
        <v>33.299999999999997</v>
      </c>
      <c r="S45">
        <v>1</v>
      </c>
      <c r="T45">
        <v>6</v>
      </c>
      <c r="U45">
        <v>16.7</v>
      </c>
      <c r="V45">
        <v>0</v>
      </c>
      <c r="W45">
        <v>0</v>
      </c>
      <c r="X45">
        <v>0</v>
      </c>
      <c r="Y45">
        <v>1</v>
      </c>
      <c r="Z45">
        <v>1</v>
      </c>
      <c r="AA45">
        <v>2</v>
      </c>
      <c r="AB45">
        <v>0</v>
      </c>
      <c r="AC45">
        <v>1</v>
      </c>
      <c r="AD45">
        <v>4</v>
      </c>
      <c r="AE45">
        <v>0</v>
      </c>
      <c r="AF45">
        <v>0</v>
      </c>
      <c r="AG45">
        <v>0</v>
      </c>
      <c r="AH45">
        <v>4</v>
      </c>
      <c r="AI45">
        <v>0</v>
      </c>
      <c r="AJ45">
        <v>-7</v>
      </c>
      <c r="AK45">
        <v>-2</v>
      </c>
      <c r="AL45">
        <v>10</v>
      </c>
      <c r="AM45">
        <v>0.61919504643962853</v>
      </c>
      <c r="AN45">
        <v>25</v>
      </c>
      <c r="AO45">
        <v>40</v>
      </c>
      <c r="AP45">
        <v>0</v>
      </c>
      <c r="AQ45">
        <v>50</v>
      </c>
      <c r="AR45">
        <v>50</v>
      </c>
      <c r="AS45">
        <v>0</v>
      </c>
    </row>
    <row r="46" spans="1:45" x14ac:dyDescent="0.25">
      <c r="A46" t="s">
        <v>48</v>
      </c>
      <c r="B46">
        <v>3</v>
      </c>
      <c r="C46" t="s">
        <v>47</v>
      </c>
      <c r="D46" t="s">
        <v>59</v>
      </c>
      <c r="E46" t="s">
        <v>60</v>
      </c>
      <c r="F46" t="s">
        <v>65</v>
      </c>
      <c r="G46">
        <v>0</v>
      </c>
      <c r="H46">
        <v>0</v>
      </c>
      <c r="I46">
        <v>34</v>
      </c>
      <c r="J46" t="s">
        <v>108</v>
      </c>
      <c r="K46">
        <v>13.43333333333333</v>
      </c>
      <c r="L46">
        <v>3</v>
      </c>
      <c r="M46">
        <v>1</v>
      </c>
      <c r="N46">
        <v>1</v>
      </c>
      <c r="O46">
        <v>100</v>
      </c>
      <c r="P46">
        <v>0</v>
      </c>
      <c r="Q46">
        <v>0</v>
      </c>
      <c r="R46">
        <v>0</v>
      </c>
      <c r="S46">
        <v>1</v>
      </c>
      <c r="T46">
        <v>1</v>
      </c>
      <c r="U46">
        <v>100</v>
      </c>
      <c r="V46">
        <v>1</v>
      </c>
      <c r="W46">
        <v>2</v>
      </c>
      <c r="X46">
        <v>50</v>
      </c>
      <c r="Y46">
        <v>0</v>
      </c>
      <c r="Z46">
        <v>1</v>
      </c>
      <c r="AA46">
        <v>1</v>
      </c>
      <c r="AB46">
        <v>0</v>
      </c>
      <c r="AC46">
        <v>2</v>
      </c>
      <c r="AD46">
        <v>3</v>
      </c>
      <c r="AE46">
        <v>0</v>
      </c>
      <c r="AF46">
        <v>0</v>
      </c>
      <c r="AG46">
        <v>0</v>
      </c>
      <c r="AH46">
        <v>5</v>
      </c>
      <c r="AI46">
        <v>2</v>
      </c>
      <c r="AJ46">
        <v>-1</v>
      </c>
      <c r="AK46">
        <v>-2</v>
      </c>
      <c r="AL46">
        <v>4.88</v>
      </c>
      <c r="AM46">
        <v>0.36327543424317621</v>
      </c>
      <c r="AN46">
        <v>79.790000000000006</v>
      </c>
      <c r="AO46">
        <v>61.48</v>
      </c>
      <c r="AP46">
        <v>1</v>
      </c>
      <c r="AQ46">
        <v>53.19</v>
      </c>
      <c r="AR46">
        <v>0</v>
      </c>
      <c r="AS46">
        <v>46.81</v>
      </c>
    </row>
    <row r="47" spans="1:45" x14ac:dyDescent="0.25">
      <c r="A47" t="s">
        <v>48</v>
      </c>
      <c r="B47">
        <v>3</v>
      </c>
      <c r="C47" t="s">
        <v>47</v>
      </c>
      <c r="D47" t="s">
        <v>59</v>
      </c>
      <c r="E47" t="s">
        <v>60</v>
      </c>
      <c r="F47" t="s">
        <v>65</v>
      </c>
      <c r="G47">
        <v>0</v>
      </c>
      <c r="H47">
        <v>0</v>
      </c>
      <c r="I47">
        <v>45</v>
      </c>
      <c r="J47" t="s">
        <v>109</v>
      </c>
      <c r="K47">
        <v>13.96666666666667</v>
      </c>
      <c r="L47">
        <v>0</v>
      </c>
      <c r="M47">
        <v>0</v>
      </c>
      <c r="N47">
        <v>3</v>
      </c>
      <c r="O47">
        <v>0</v>
      </c>
      <c r="P47">
        <v>0</v>
      </c>
      <c r="Q47">
        <v>1</v>
      </c>
      <c r="R47">
        <v>0</v>
      </c>
      <c r="S47">
        <v>0</v>
      </c>
      <c r="T47">
        <v>4</v>
      </c>
      <c r="U47">
        <v>0</v>
      </c>
      <c r="V47">
        <v>0</v>
      </c>
      <c r="W47">
        <v>2</v>
      </c>
      <c r="X47">
        <v>0</v>
      </c>
      <c r="Y47">
        <v>2</v>
      </c>
      <c r="Z47">
        <v>0</v>
      </c>
      <c r="AA47">
        <v>2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-3</v>
      </c>
      <c r="AK47">
        <v>-23</v>
      </c>
      <c r="AL47">
        <v>4.88</v>
      </c>
      <c r="AM47">
        <v>0.34940334128878281</v>
      </c>
      <c r="AN47">
        <v>0</v>
      </c>
      <c r="AO47">
        <v>0</v>
      </c>
      <c r="AP47">
        <v>0</v>
      </c>
      <c r="AQ47">
        <v>61.48</v>
      </c>
      <c r="AR47">
        <v>20.49</v>
      </c>
      <c r="AS47">
        <v>18.03</v>
      </c>
    </row>
    <row r="48" spans="1:45" x14ac:dyDescent="0.25">
      <c r="A48" t="s">
        <v>48</v>
      </c>
      <c r="B48">
        <v>3</v>
      </c>
      <c r="C48" t="s">
        <v>47</v>
      </c>
      <c r="D48" t="s">
        <v>59</v>
      </c>
      <c r="E48" t="s">
        <v>60</v>
      </c>
      <c r="F48" t="s">
        <v>65</v>
      </c>
      <c r="G48">
        <v>0</v>
      </c>
      <c r="H48">
        <v>0</v>
      </c>
      <c r="J48" t="s">
        <v>76</v>
      </c>
      <c r="K48">
        <v>200</v>
      </c>
      <c r="L48">
        <v>41</v>
      </c>
      <c r="M48">
        <v>12</v>
      </c>
      <c r="N48">
        <v>34</v>
      </c>
      <c r="O48">
        <v>35.299999999999997</v>
      </c>
      <c r="P48">
        <v>4</v>
      </c>
      <c r="Q48">
        <v>22</v>
      </c>
      <c r="R48">
        <v>18.2</v>
      </c>
      <c r="S48">
        <v>16</v>
      </c>
      <c r="T48">
        <v>56</v>
      </c>
      <c r="U48">
        <v>28.6</v>
      </c>
      <c r="V48">
        <v>5</v>
      </c>
      <c r="W48">
        <v>14</v>
      </c>
      <c r="X48">
        <v>35.700000000000003</v>
      </c>
      <c r="Y48">
        <v>7</v>
      </c>
      <c r="Z48">
        <v>17</v>
      </c>
      <c r="AA48">
        <v>24</v>
      </c>
      <c r="AB48">
        <v>8</v>
      </c>
      <c r="AC48">
        <v>13</v>
      </c>
      <c r="AD48">
        <v>19</v>
      </c>
      <c r="AE48">
        <v>0</v>
      </c>
      <c r="AF48">
        <v>0</v>
      </c>
      <c r="AG48">
        <v>0</v>
      </c>
      <c r="AH48">
        <v>24</v>
      </c>
      <c r="AI48">
        <v>18</v>
      </c>
      <c r="AJ48">
        <v>12</v>
      </c>
      <c r="AL48">
        <v>81.16</v>
      </c>
      <c r="AM48">
        <v>0.40579999999999999</v>
      </c>
      <c r="AN48">
        <v>32.979999999999997</v>
      </c>
      <c r="AO48">
        <v>23.41</v>
      </c>
      <c r="AP48">
        <v>8.9285714285714288E-2</v>
      </c>
      <c r="AQ48">
        <v>54.7</v>
      </c>
      <c r="AR48">
        <v>35.39</v>
      </c>
      <c r="AS48">
        <v>9.91</v>
      </c>
    </row>
    <row r="49" spans="1:45" x14ac:dyDescent="0.25">
      <c r="A49" t="s">
        <v>49</v>
      </c>
      <c r="B49">
        <v>3</v>
      </c>
      <c r="C49" t="s">
        <v>50</v>
      </c>
      <c r="D49" t="s">
        <v>59</v>
      </c>
      <c r="E49" t="s">
        <v>61</v>
      </c>
      <c r="F49" t="s">
        <v>64</v>
      </c>
      <c r="G49">
        <v>1</v>
      </c>
      <c r="H49">
        <v>0</v>
      </c>
      <c r="I49">
        <v>0</v>
      </c>
      <c r="J49" t="s">
        <v>110</v>
      </c>
      <c r="K49">
        <v>13.983333333333331</v>
      </c>
      <c r="L49">
        <v>3</v>
      </c>
      <c r="M49">
        <v>1</v>
      </c>
      <c r="N49">
        <v>4</v>
      </c>
      <c r="O49">
        <v>25</v>
      </c>
      <c r="P49">
        <v>0</v>
      </c>
      <c r="Q49">
        <v>1</v>
      </c>
      <c r="R49">
        <v>0</v>
      </c>
      <c r="S49">
        <v>1</v>
      </c>
      <c r="T49">
        <v>5</v>
      </c>
      <c r="U49">
        <v>20</v>
      </c>
      <c r="V49">
        <v>1</v>
      </c>
      <c r="W49">
        <v>2</v>
      </c>
      <c r="X49">
        <v>50</v>
      </c>
      <c r="Y49">
        <v>4</v>
      </c>
      <c r="Z49">
        <v>3</v>
      </c>
      <c r="AA49">
        <v>7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2</v>
      </c>
      <c r="AI49">
        <v>2</v>
      </c>
      <c r="AJ49">
        <v>5</v>
      </c>
      <c r="AK49">
        <v>1</v>
      </c>
      <c r="AL49">
        <v>6.88</v>
      </c>
      <c r="AM49">
        <v>0.49201430274135882</v>
      </c>
      <c r="AN49">
        <v>25.51</v>
      </c>
      <c r="AO49">
        <v>14.53</v>
      </c>
      <c r="AP49">
        <v>0.2</v>
      </c>
      <c r="AQ49">
        <v>68.03</v>
      </c>
      <c r="AR49">
        <v>17.010000000000002</v>
      </c>
      <c r="AS49">
        <v>14.97</v>
      </c>
    </row>
    <row r="50" spans="1:45" x14ac:dyDescent="0.25">
      <c r="A50" t="s">
        <v>49</v>
      </c>
      <c r="B50">
        <v>3</v>
      </c>
      <c r="C50" t="s">
        <v>50</v>
      </c>
      <c r="D50" t="s">
        <v>59</v>
      </c>
      <c r="E50" t="s">
        <v>61</v>
      </c>
      <c r="F50" t="s">
        <v>64</v>
      </c>
      <c r="G50">
        <v>1</v>
      </c>
      <c r="H50">
        <v>1</v>
      </c>
      <c r="I50">
        <v>2</v>
      </c>
      <c r="J50" t="s">
        <v>111</v>
      </c>
      <c r="K50">
        <v>27.25</v>
      </c>
      <c r="L50">
        <v>10</v>
      </c>
      <c r="M50">
        <v>2</v>
      </c>
      <c r="N50">
        <v>6</v>
      </c>
      <c r="O50">
        <v>33.299999999999997</v>
      </c>
      <c r="P50">
        <v>2</v>
      </c>
      <c r="Q50">
        <v>5</v>
      </c>
      <c r="R50">
        <v>40</v>
      </c>
      <c r="S50">
        <v>4</v>
      </c>
      <c r="T50">
        <v>11</v>
      </c>
      <c r="U50">
        <v>36.4</v>
      </c>
      <c r="V50">
        <v>0</v>
      </c>
      <c r="W50">
        <v>0</v>
      </c>
      <c r="X50">
        <v>0</v>
      </c>
      <c r="Y50">
        <v>0</v>
      </c>
      <c r="Z50">
        <v>3</v>
      </c>
      <c r="AA50">
        <v>3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2</v>
      </c>
      <c r="AJ50">
        <v>8</v>
      </c>
      <c r="AK50">
        <v>7</v>
      </c>
      <c r="AL50">
        <v>12</v>
      </c>
      <c r="AM50">
        <v>0.44036697247706419</v>
      </c>
      <c r="AN50">
        <v>45.45</v>
      </c>
      <c r="AO50">
        <v>8.33</v>
      </c>
      <c r="AP50">
        <v>0</v>
      </c>
      <c r="AQ50">
        <v>54.55</v>
      </c>
      <c r="AR50">
        <v>45.45</v>
      </c>
      <c r="AS50">
        <v>0</v>
      </c>
    </row>
    <row r="51" spans="1:45" x14ac:dyDescent="0.25">
      <c r="A51" t="s">
        <v>49</v>
      </c>
      <c r="B51">
        <v>3</v>
      </c>
      <c r="C51" t="s">
        <v>50</v>
      </c>
      <c r="D51" t="s">
        <v>59</v>
      </c>
      <c r="E51" t="s">
        <v>61</v>
      </c>
      <c r="F51" t="s">
        <v>64</v>
      </c>
      <c r="G51">
        <v>1</v>
      </c>
      <c r="H51">
        <v>0</v>
      </c>
      <c r="I51">
        <v>4</v>
      </c>
      <c r="J51" t="s">
        <v>112</v>
      </c>
      <c r="K51">
        <v>17.883333333333329</v>
      </c>
      <c r="L51">
        <v>5</v>
      </c>
      <c r="M51">
        <v>1</v>
      </c>
      <c r="N51">
        <v>2</v>
      </c>
      <c r="O51">
        <v>50</v>
      </c>
      <c r="P51">
        <v>0</v>
      </c>
      <c r="Q51">
        <v>2</v>
      </c>
      <c r="R51">
        <v>0</v>
      </c>
      <c r="S51">
        <v>1</v>
      </c>
      <c r="T51">
        <v>4</v>
      </c>
      <c r="U51">
        <v>25</v>
      </c>
      <c r="V51">
        <v>3</v>
      </c>
      <c r="W51">
        <v>4</v>
      </c>
      <c r="X51">
        <v>75</v>
      </c>
      <c r="Y51">
        <v>1</v>
      </c>
      <c r="Z51">
        <v>4</v>
      </c>
      <c r="AA51">
        <v>5</v>
      </c>
      <c r="AB51">
        <v>0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4</v>
      </c>
      <c r="AI51">
        <v>3</v>
      </c>
      <c r="AJ51">
        <v>5</v>
      </c>
      <c r="AK51">
        <v>-2</v>
      </c>
      <c r="AL51">
        <v>6.76</v>
      </c>
      <c r="AM51">
        <v>0.37800559179869531</v>
      </c>
      <c r="AN51">
        <v>43.4</v>
      </c>
      <c r="AO51">
        <v>14.79</v>
      </c>
      <c r="AP51">
        <v>0.75</v>
      </c>
      <c r="AQ51">
        <v>34.72</v>
      </c>
      <c r="AR51">
        <v>34.72</v>
      </c>
      <c r="AS51">
        <v>30.56</v>
      </c>
    </row>
    <row r="52" spans="1:45" x14ac:dyDescent="0.25">
      <c r="A52" t="s">
        <v>49</v>
      </c>
      <c r="B52">
        <v>3</v>
      </c>
      <c r="C52" t="s">
        <v>50</v>
      </c>
      <c r="D52" t="s">
        <v>59</v>
      </c>
      <c r="E52" t="s">
        <v>61</v>
      </c>
      <c r="F52" t="s">
        <v>64</v>
      </c>
      <c r="G52">
        <v>1</v>
      </c>
      <c r="H52">
        <v>1</v>
      </c>
      <c r="I52">
        <v>7</v>
      </c>
      <c r="J52" t="s">
        <v>113</v>
      </c>
      <c r="K52">
        <v>34.033333333333331</v>
      </c>
      <c r="L52">
        <v>3</v>
      </c>
      <c r="M52">
        <v>1</v>
      </c>
      <c r="N52">
        <v>3</v>
      </c>
      <c r="O52">
        <v>33.299999999999997</v>
      </c>
      <c r="P52">
        <v>0</v>
      </c>
      <c r="Q52">
        <v>1</v>
      </c>
      <c r="R52">
        <v>0</v>
      </c>
      <c r="S52">
        <v>1</v>
      </c>
      <c r="T52">
        <v>4</v>
      </c>
      <c r="U52">
        <v>25</v>
      </c>
      <c r="V52">
        <v>1</v>
      </c>
      <c r="W52">
        <v>2</v>
      </c>
      <c r="X52">
        <v>50</v>
      </c>
      <c r="Y52">
        <v>0</v>
      </c>
      <c r="Z52">
        <v>3</v>
      </c>
      <c r="AA52">
        <v>3</v>
      </c>
      <c r="AB52">
        <v>1</v>
      </c>
      <c r="AC52">
        <v>0</v>
      </c>
      <c r="AD52">
        <v>3</v>
      </c>
      <c r="AE52">
        <v>0</v>
      </c>
      <c r="AF52">
        <v>0</v>
      </c>
      <c r="AG52">
        <v>0</v>
      </c>
      <c r="AH52">
        <v>3</v>
      </c>
      <c r="AI52">
        <v>2</v>
      </c>
      <c r="AJ52">
        <v>-1</v>
      </c>
      <c r="AK52">
        <v>-2</v>
      </c>
      <c r="AL52">
        <v>7.88</v>
      </c>
      <c r="AM52">
        <v>0.23153770812928501</v>
      </c>
      <c r="AN52">
        <v>30.74</v>
      </c>
      <c r="AO52">
        <v>38.07</v>
      </c>
      <c r="AP52">
        <v>0.25</v>
      </c>
      <c r="AQ52">
        <v>61.48</v>
      </c>
      <c r="AR52">
        <v>20.49</v>
      </c>
      <c r="AS52">
        <v>18.03</v>
      </c>
    </row>
    <row r="53" spans="1:45" x14ac:dyDescent="0.25">
      <c r="A53" t="s">
        <v>49</v>
      </c>
      <c r="B53">
        <v>3</v>
      </c>
      <c r="C53" t="s">
        <v>50</v>
      </c>
      <c r="D53" t="s">
        <v>59</v>
      </c>
      <c r="E53" t="s">
        <v>61</v>
      </c>
      <c r="F53" t="s">
        <v>64</v>
      </c>
      <c r="G53">
        <v>1</v>
      </c>
      <c r="H53">
        <v>0</v>
      </c>
      <c r="I53">
        <v>8</v>
      </c>
      <c r="J53" t="s">
        <v>114</v>
      </c>
      <c r="K53">
        <v>4.2666666666666666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2</v>
      </c>
      <c r="X53">
        <v>50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2</v>
      </c>
      <c r="AK53">
        <v>4</v>
      </c>
      <c r="AL53">
        <v>0.88</v>
      </c>
      <c r="AM53">
        <v>0.20624999999999999</v>
      </c>
      <c r="AN53">
        <v>56.82</v>
      </c>
      <c r="AO53">
        <v>0</v>
      </c>
      <c r="AP53" t="s">
        <v>211</v>
      </c>
      <c r="AQ53">
        <v>0</v>
      </c>
      <c r="AR53">
        <v>0</v>
      </c>
      <c r="AS53">
        <v>100</v>
      </c>
    </row>
    <row r="54" spans="1:45" x14ac:dyDescent="0.25">
      <c r="A54" t="s">
        <v>49</v>
      </c>
      <c r="B54">
        <v>3</v>
      </c>
      <c r="C54" t="s">
        <v>50</v>
      </c>
      <c r="D54" t="s">
        <v>59</v>
      </c>
      <c r="E54" t="s">
        <v>61</v>
      </c>
      <c r="F54" t="s">
        <v>64</v>
      </c>
      <c r="G54">
        <v>1</v>
      </c>
      <c r="H54">
        <v>0</v>
      </c>
      <c r="I54">
        <v>9</v>
      </c>
      <c r="J54" t="s">
        <v>115</v>
      </c>
      <c r="K54">
        <v>8.2333333333333325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1</v>
      </c>
      <c r="AL54">
        <v>0</v>
      </c>
      <c r="AM54">
        <v>0</v>
      </c>
      <c r="AQ54">
        <v>0</v>
      </c>
      <c r="AR54">
        <v>0</v>
      </c>
      <c r="AS54">
        <v>0</v>
      </c>
    </row>
    <row r="55" spans="1:45" x14ac:dyDescent="0.25">
      <c r="A55" t="s">
        <v>49</v>
      </c>
      <c r="B55">
        <v>3</v>
      </c>
      <c r="C55" t="s">
        <v>50</v>
      </c>
      <c r="D55" t="s">
        <v>59</v>
      </c>
      <c r="E55" t="s">
        <v>61</v>
      </c>
      <c r="F55" t="s">
        <v>64</v>
      </c>
      <c r="G55">
        <v>1</v>
      </c>
      <c r="H55">
        <v>1</v>
      </c>
      <c r="I55">
        <v>11</v>
      </c>
      <c r="J55" t="s">
        <v>116</v>
      </c>
      <c r="K55">
        <v>30.633333333333329</v>
      </c>
      <c r="L55">
        <v>17</v>
      </c>
      <c r="M55">
        <v>6</v>
      </c>
      <c r="N55">
        <v>15</v>
      </c>
      <c r="O55">
        <v>40</v>
      </c>
      <c r="P55">
        <v>0</v>
      </c>
      <c r="Q55">
        <v>3</v>
      </c>
      <c r="R55">
        <v>0</v>
      </c>
      <c r="S55">
        <v>6</v>
      </c>
      <c r="T55">
        <v>18</v>
      </c>
      <c r="U55">
        <v>33.299999999999997</v>
      </c>
      <c r="V55">
        <v>5</v>
      </c>
      <c r="W55">
        <v>5</v>
      </c>
      <c r="X55">
        <v>100</v>
      </c>
      <c r="Y55">
        <v>2</v>
      </c>
      <c r="Z55">
        <v>5</v>
      </c>
      <c r="AA55">
        <v>7</v>
      </c>
      <c r="AB55">
        <v>1</v>
      </c>
      <c r="AC55">
        <v>3</v>
      </c>
      <c r="AD55">
        <v>1</v>
      </c>
      <c r="AE55">
        <v>1</v>
      </c>
      <c r="AF55">
        <v>0</v>
      </c>
      <c r="AG55">
        <v>0</v>
      </c>
      <c r="AH55">
        <v>4</v>
      </c>
      <c r="AI55">
        <v>4</v>
      </c>
      <c r="AJ55">
        <v>16</v>
      </c>
      <c r="AK55">
        <v>1</v>
      </c>
      <c r="AL55">
        <v>21.2</v>
      </c>
      <c r="AM55">
        <v>0.69205658324265507</v>
      </c>
      <c r="AN55">
        <v>42.08</v>
      </c>
      <c r="AO55">
        <v>4.72</v>
      </c>
      <c r="AP55">
        <v>0.27777777777777779</v>
      </c>
      <c r="AQ55">
        <v>74.260000000000005</v>
      </c>
      <c r="AR55">
        <v>14.85</v>
      </c>
      <c r="AS55">
        <v>10.89</v>
      </c>
    </row>
    <row r="56" spans="1:45" x14ac:dyDescent="0.25">
      <c r="A56" t="s">
        <v>49</v>
      </c>
      <c r="B56">
        <v>3</v>
      </c>
      <c r="C56" t="s">
        <v>50</v>
      </c>
      <c r="D56" t="s">
        <v>59</v>
      </c>
      <c r="E56" t="s">
        <v>61</v>
      </c>
      <c r="F56" t="s">
        <v>64</v>
      </c>
      <c r="G56">
        <v>1</v>
      </c>
      <c r="H56">
        <v>1</v>
      </c>
      <c r="I56">
        <v>14</v>
      </c>
      <c r="J56" t="s">
        <v>117</v>
      </c>
      <c r="K56">
        <v>32.716666666666669</v>
      </c>
      <c r="L56">
        <v>24</v>
      </c>
      <c r="M56">
        <v>4</v>
      </c>
      <c r="N56">
        <v>9</v>
      </c>
      <c r="O56">
        <v>44.4</v>
      </c>
      <c r="P56">
        <v>4</v>
      </c>
      <c r="Q56">
        <v>7</v>
      </c>
      <c r="R56">
        <v>57.1</v>
      </c>
      <c r="S56">
        <v>8</v>
      </c>
      <c r="T56">
        <v>16</v>
      </c>
      <c r="U56">
        <v>50</v>
      </c>
      <c r="V56">
        <v>4</v>
      </c>
      <c r="W56">
        <v>6</v>
      </c>
      <c r="X56">
        <v>66.7</v>
      </c>
      <c r="Y56">
        <v>0</v>
      </c>
      <c r="Z56">
        <v>8</v>
      </c>
      <c r="AA56">
        <v>8</v>
      </c>
      <c r="AB56">
        <v>7</v>
      </c>
      <c r="AC56">
        <v>0</v>
      </c>
      <c r="AD56">
        <v>2</v>
      </c>
      <c r="AE56">
        <v>0</v>
      </c>
      <c r="AF56">
        <v>2</v>
      </c>
      <c r="AG56">
        <v>0</v>
      </c>
      <c r="AH56">
        <v>2</v>
      </c>
      <c r="AI56">
        <v>5</v>
      </c>
      <c r="AJ56">
        <v>30</v>
      </c>
      <c r="AK56">
        <v>1</v>
      </c>
      <c r="AL56">
        <v>20.64</v>
      </c>
      <c r="AM56">
        <v>0.63087111563932752</v>
      </c>
      <c r="AN56">
        <v>64.38</v>
      </c>
      <c r="AO56">
        <v>9.69</v>
      </c>
      <c r="AP56">
        <v>0.25</v>
      </c>
      <c r="AQ56">
        <v>48.28</v>
      </c>
      <c r="AR56">
        <v>37.549999999999997</v>
      </c>
      <c r="AS56">
        <v>14.16</v>
      </c>
    </row>
    <row r="57" spans="1:45" x14ac:dyDescent="0.25">
      <c r="A57" t="s">
        <v>49</v>
      </c>
      <c r="B57">
        <v>3</v>
      </c>
      <c r="C57" t="s">
        <v>50</v>
      </c>
      <c r="D57" t="s">
        <v>59</v>
      </c>
      <c r="E57" t="s">
        <v>61</v>
      </c>
      <c r="F57" t="s">
        <v>64</v>
      </c>
      <c r="G57">
        <v>1</v>
      </c>
      <c r="H57">
        <v>0</v>
      </c>
      <c r="I57">
        <v>15</v>
      </c>
      <c r="J57" t="s">
        <v>118</v>
      </c>
      <c r="K57">
        <v>14.8</v>
      </c>
      <c r="L57">
        <v>8</v>
      </c>
      <c r="M57">
        <v>1</v>
      </c>
      <c r="N57">
        <v>4</v>
      </c>
      <c r="O57">
        <v>25</v>
      </c>
      <c r="P57">
        <v>2</v>
      </c>
      <c r="Q57">
        <v>6</v>
      </c>
      <c r="R57">
        <v>33.299999999999997</v>
      </c>
      <c r="S57">
        <v>3</v>
      </c>
      <c r="T57">
        <v>10</v>
      </c>
      <c r="U57">
        <v>30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2</v>
      </c>
      <c r="AE57">
        <v>0</v>
      </c>
      <c r="AF57">
        <v>1</v>
      </c>
      <c r="AG57">
        <v>0</v>
      </c>
      <c r="AH57">
        <v>3</v>
      </c>
      <c r="AI57">
        <v>0</v>
      </c>
      <c r="AJ57">
        <v>-3</v>
      </c>
      <c r="AK57">
        <v>8</v>
      </c>
      <c r="AL57">
        <v>12</v>
      </c>
      <c r="AM57">
        <v>0.81081081081081074</v>
      </c>
      <c r="AN57">
        <v>40</v>
      </c>
      <c r="AO57">
        <v>16.670000000000002</v>
      </c>
      <c r="AP57">
        <v>0</v>
      </c>
      <c r="AQ57">
        <v>40</v>
      </c>
      <c r="AR57">
        <v>60</v>
      </c>
      <c r="AS57">
        <v>0</v>
      </c>
    </row>
    <row r="58" spans="1:45" x14ac:dyDescent="0.25">
      <c r="A58" t="s">
        <v>49</v>
      </c>
      <c r="B58">
        <v>3</v>
      </c>
      <c r="C58" t="s">
        <v>50</v>
      </c>
      <c r="D58" t="s">
        <v>59</v>
      </c>
      <c r="E58" t="s">
        <v>61</v>
      </c>
      <c r="F58" t="s">
        <v>64</v>
      </c>
      <c r="G58">
        <v>1</v>
      </c>
      <c r="H58">
        <v>0</v>
      </c>
      <c r="I58">
        <v>22</v>
      </c>
      <c r="J58" t="s">
        <v>119</v>
      </c>
      <c r="K58">
        <v>7.6333333333333329</v>
      </c>
      <c r="L58">
        <v>1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>
        <v>0</v>
      </c>
      <c r="V58">
        <v>1</v>
      </c>
      <c r="W58">
        <v>2</v>
      </c>
      <c r="X58">
        <v>50</v>
      </c>
      <c r="Y58">
        <v>1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6</v>
      </c>
      <c r="AL58">
        <v>3.88</v>
      </c>
      <c r="AM58">
        <v>0.50829694323144103</v>
      </c>
      <c r="AN58">
        <v>17.36</v>
      </c>
      <c r="AO58">
        <v>25.77</v>
      </c>
      <c r="AP58">
        <v>0.5</v>
      </c>
      <c r="AQ58">
        <v>69.44</v>
      </c>
      <c r="AR58">
        <v>0</v>
      </c>
      <c r="AS58">
        <v>30.56</v>
      </c>
    </row>
    <row r="59" spans="1:45" x14ac:dyDescent="0.25">
      <c r="A59" t="s">
        <v>49</v>
      </c>
      <c r="B59">
        <v>3</v>
      </c>
      <c r="C59" t="s">
        <v>50</v>
      </c>
      <c r="D59" t="s">
        <v>59</v>
      </c>
      <c r="E59" t="s">
        <v>61</v>
      </c>
      <c r="F59" t="s">
        <v>64</v>
      </c>
      <c r="G59">
        <v>1</v>
      </c>
      <c r="H59">
        <v>1</v>
      </c>
      <c r="I59">
        <v>31</v>
      </c>
      <c r="J59" t="s">
        <v>120</v>
      </c>
      <c r="K59">
        <v>33.56666666666667</v>
      </c>
      <c r="L59">
        <v>5</v>
      </c>
      <c r="M59">
        <v>0</v>
      </c>
      <c r="N59">
        <v>1</v>
      </c>
      <c r="O59">
        <v>0</v>
      </c>
      <c r="P59">
        <v>1</v>
      </c>
      <c r="Q59">
        <v>5</v>
      </c>
      <c r="R59">
        <v>20</v>
      </c>
      <c r="S59">
        <v>1</v>
      </c>
      <c r="T59">
        <v>6</v>
      </c>
      <c r="U59">
        <v>16.7</v>
      </c>
      <c r="V59">
        <v>2</v>
      </c>
      <c r="W59">
        <v>2</v>
      </c>
      <c r="X59">
        <v>100</v>
      </c>
      <c r="Y59">
        <v>0</v>
      </c>
      <c r="Z59">
        <v>5</v>
      </c>
      <c r="AA59">
        <v>5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</v>
      </c>
      <c r="AJ59">
        <v>9</v>
      </c>
      <c r="AK59">
        <v>0</v>
      </c>
      <c r="AL59">
        <v>6.88</v>
      </c>
      <c r="AM59">
        <v>0.20496524329692151</v>
      </c>
      <c r="AN59">
        <v>36.340000000000003</v>
      </c>
      <c r="AO59">
        <v>0</v>
      </c>
      <c r="AP59">
        <v>0.33333333333333331</v>
      </c>
      <c r="AQ59">
        <v>14.53</v>
      </c>
      <c r="AR59">
        <v>72.67</v>
      </c>
      <c r="AS59">
        <v>12.79</v>
      </c>
    </row>
    <row r="60" spans="1:45" x14ac:dyDescent="0.25">
      <c r="A60" t="s">
        <v>49</v>
      </c>
      <c r="B60">
        <v>3</v>
      </c>
      <c r="C60" t="s">
        <v>50</v>
      </c>
      <c r="D60" t="s">
        <v>59</v>
      </c>
      <c r="E60" t="s">
        <v>61</v>
      </c>
      <c r="F60" t="s">
        <v>64</v>
      </c>
      <c r="G60">
        <v>1</v>
      </c>
      <c r="H60">
        <v>0</v>
      </c>
      <c r="J60" t="s">
        <v>76</v>
      </c>
      <c r="K60">
        <v>225</v>
      </c>
      <c r="L60">
        <v>77</v>
      </c>
      <c r="M60">
        <v>16</v>
      </c>
      <c r="N60">
        <v>46</v>
      </c>
      <c r="O60">
        <v>34.799999999999997</v>
      </c>
      <c r="P60">
        <v>9</v>
      </c>
      <c r="Q60">
        <v>30</v>
      </c>
      <c r="R60">
        <v>30</v>
      </c>
      <c r="S60">
        <v>25</v>
      </c>
      <c r="T60">
        <v>76</v>
      </c>
      <c r="U60">
        <v>32.9</v>
      </c>
      <c r="V60">
        <v>18</v>
      </c>
      <c r="W60">
        <v>25</v>
      </c>
      <c r="X60">
        <v>72</v>
      </c>
      <c r="Y60">
        <v>9</v>
      </c>
      <c r="Z60">
        <v>32</v>
      </c>
      <c r="AA60">
        <v>41</v>
      </c>
      <c r="AB60">
        <v>13</v>
      </c>
      <c r="AC60">
        <v>6</v>
      </c>
      <c r="AD60">
        <v>12</v>
      </c>
      <c r="AE60">
        <v>2</v>
      </c>
      <c r="AF60">
        <v>3</v>
      </c>
      <c r="AG60">
        <v>0</v>
      </c>
      <c r="AH60">
        <v>18</v>
      </c>
      <c r="AI60">
        <v>23</v>
      </c>
      <c r="AJ60">
        <v>74</v>
      </c>
      <c r="AL60">
        <v>99</v>
      </c>
      <c r="AM60">
        <v>0.44</v>
      </c>
      <c r="AN60">
        <v>44.25</v>
      </c>
      <c r="AO60">
        <v>12.12</v>
      </c>
      <c r="AP60">
        <v>0.23684210526315791</v>
      </c>
      <c r="AQ60">
        <v>52.87</v>
      </c>
      <c r="AR60">
        <v>34.479999999999997</v>
      </c>
      <c r="AS60">
        <v>12.64</v>
      </c>
    </row>
    <row r="61" spans="1:45" x14ac:dyDescent="0.25">
      <c r="A61" t="s">
        <v>50</v>
      </c>
      <c r="B61">
        <v>3</v>
      </c>
      <c r="C61" t="s">
        <v>49</v>
      </c>
      <c r="D61" t="s">
        <v>59</v>
      </c>
      <c r="E61" t="s">
        <v>61</v>
      </c>
      <c r="F61" t="s">
        <v>65</v>
      </c>
      <c r="G61">
        <v>0</v>
      </c>
      <c r="H61">
        <v>0</v>
      </c>
      <c r="I61">
        <v>4</v>
      </c>
      <c r="J61" t="s">
        <v>121</v>
      </c>
      <c r="K61">
        <v>14.2</v>
      </c>
      <c r="L61">
        <v>5</v>
      </c>
      <c r="M61">
        <v>1</v>
      </c>
      <c r="N61">
        <v>1</v>
      </c>
      <c r="O61">
        <v>100</v>
      </c>
      <c r="P61">
        <v>1</v>
      </c>
      <c r="Q61">
        <v>2</v>
      </c>
      <c r="R61">
        <v>50</v>
      </c>
      <c r="S61">
        <v>2</v>
      </c>
      <c r="T61">
        <v>3</v>
      </c>
      <c r="U61">
        <v>66.7</v>
      </c>
      <c r="V61">
        <v>0</v>
      </c>
      <c r="W61">
        <v>0</v>
      </c>
      <c r="X61">
        <v>0</v>
      </c>
      <c r="Y61">
        <v>2</v>
      </c>
      <c r="Z61">
        <v>2</v>
      </c>
      <c r="AA61">
        <v>4</v>
      </c>
      <c r="AB61">
        <v>2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3</v>
      </c>
      <c r="AI61">
        <v>0</v>
      </c>
      <c r="AJ61">
        <v>7</v>
      </c>
      <c r="AK61">
        <v>-6</v>
      </c>
      <c r="AL61">
        <v>4</v>
      </c>
      <c r="AM61">
        <v>0.28169014084507038</v>
      </c>
      <c r="AN61">
        <v>83.33</v>
      </c>
      <c r="AO61">
        <v>25</v>
      </c>
      <c r="AP61">
        <v>0</v>
      </c>
      <c r="AQ61">
        <v>33.33</v>
      </c>
      <c r="AR61">
        <v>66.67</v>
      </c>
      <c r="AS61">
        <v>0</v>
      </c>
    </row>
    <row r="62" spans="1:45" x14ac:dyDescent="0.25">
      <c r="A62" t="s">
        <v>50</v>
      </c>
      <c r="B62">
        <v>3</v>
      </c>
      <c r="C62" t="s">
        <v>49</v>
      </c>
      <c r="D62" t="s">
        <v>59</v>
      </c>
      <c r="E62" t="s">
        <v>61</v>
      </c>
      <c r="F62" t="s">
        <v>65</v>
      </c>
      <c r="G62">
        <v>0</v>
      </c>
      <c r="H62">
        <v>1</v>
      </c>
      <c r="I62">
        <v>5</v>
      </c>
      <c r="J62" t="s">
        <v>122</v>
      </c>
      <c r="K62">
        <v>35.200000000000003</v>
      </c>
      <c r="L62">
        <v>8</v>
      </c>
      <c r="M62">
        <v>4</v>
      </c>
      <c r="N62">
        <v>16</v>
      </c>
      <c r="O62">
        <v>25</v>
      </c>
      <c r="P62">
        <v>0</v>
      </c>
      <c r="Q62">
        <v>2</v>
      </c>
      <c r="R62">
        <v>0</v>
      </c>
      <c r="S62">
        <v>4</v>
      </c>
      <c r="T62">
        <v>18</v>
      </c>
      <c r="U62">
        <v>22.2</v>
      </c>
      <c r="V62">
        <v>0</v>
      </c>
      <c r="W62">
        <v>0</v>
      </c>
      <c r="X62">
        <v>0</v>
      </c>
      <c r="Y62">
        <v>2</v>
      </c>
      <c r="Z62">
        <v>2</v>
      </c>
      <c r="AA62">
        <v>4</v>
      </c>
      <c r="AB62">
        <v>3</v>
      </c>
      <c r="AC62">
        <v>2</v>
      </c>
      <c r="AD62">
        <v>0</v>
      </c>
      <c r="AE62">
        <v>0</v>
      </c>
      <c r="AF62">
        <v>1</v>
      </c>
      <c r="AG62">
        <v>0</v>
      </c>
      <c r="AH62">
        <v>4</v>
      </c>
      <c r="AI62">
        <v>2</v>
      </c>
      <c r="AJ62">
        <v>1</v>
      </c>
      <c r="AK62">
        <v>5</v>
      </c>
      <c r="AL62">
        <v>18</v>
      </c>
      <c r="AM62">
        <v>0.51136363636363635</v>
      </c>
      <c r="AN62">
        <v>22.22</v>
      </c>
      <c r="AO62">
        <v>0</v>
      </c>
      <c r="AP62">
        <v>0</v>
      </c>
      <c r="AQ62">
        <v>88.89</v>
      </c>
      <c r="AR62">
        <v>11.11</v>
      </c>
      <c r="AS62">
        <v>0</v>
      </c>
    </row>
    <row r="63" spans="1:45" x14ac:dyDescent="0.25">
      <c r="A63" t="s">
        <v>50</v>
      </c>
      <c r="B63">
        <v>3</v>
      </c>
      <c r="C63" t="s">
        <v>49</v>
      </c>
      <c r="D63" t="s">
        <v>59</v>
      </c>
      <c r="E63" t="s">
        <v>61</v>
      </c>
      <c r="F63" t="s">
        <v>65</v>
      </c>
      <c r="G63">
        <v>0</v>
      </c>
      <c r="H63">
        <v>0</v>
      </c>
      <c r="I63">
        <v>6</v>
      </c>
      <c r="J63" t="s">
        <v>123</v>
      </c>
      <c r="K63">
        <v>25.366666666666671</v>
      </c>
      <c r="L63">
        <v>5</v>
      </c>
      <c r="M63">
        <v>1</v>
      </c>
      <c r="N63">
        <v>12</v>
      </c>
      <c r="O63">
        <v>8.3000000000000007</v>
      </c>
      <c r="P63">
        <v>1</v>
      </c>
      <c r="Q63">
        <v>4</v>
      </c>
      <c r="R63">
        <v>25</v>
      </c>
      <c r="S63">
        <v>2</v>
      </c>
      <c r="T63">
        <v>16</v>
      </c>
      <c r="U63">
        <v>12.5</v>
      </c>
      <c r="V63">
        <v>0</v>
      </c>
      <c r="W63">
        <v>0</v>
      </c>
      <c r="X63">
        <v>0</v>
      </c>
      <c r="Y63">
        <v>0</v>
      </c>
      <c r="Z63">
        <v>5</v>
      </c>
      <c r="AA63">
        <v>5</v>
      </c>
      <c r="AB63">
        <v>1</v>
      </c>
      <c r="AC63">
        <v>0</v>
      </c>
      <c r="AD63">
        <v>2</v>
      </c>
      <c r="AE63">
        <v>0</v>
      </c>
      <c r="AF63">
        <v>1</v>
      </c>
      <c r="AG63">
        <v>0</v>
      </c>
      <c r="AH63">
        <v>3</v>
      </c>
      <c r="AI63">
        <v>0</v>
      </c>
      <c r="AJ63">
        <v>-8</v>
      </c>
      <c r="AK63">
        <v>-12</v>
      </c>
      <c r="AL63">
        <v>18</v>
      </c>
      <c r="AM63">
        <v>0.70959264126149801</v>
      </c>
      <c r="AN63">
        <v>15.62</v>
      </c>
      <c r="AO63">
        <v>11.11</v>
      </c>
      <c r="AP63">
        <v>0</v>
      </c>
      <c r="AQ63">
        <v>75</v>
      </c>
      <c r="AR63">
        <v>25</v>
      </c>
      <c r="AS63">
        <v>0</v>
      </c>
    </row>
    <row r="64" spans="1:45" x14ac:dyDescent="0.25">
      <c r="A64" t="s">
        <v>50</v>
      </c>
      <c r="B64">
        <v>3</v>
      </c>
      <c r="C64" t="s">
        <v>49</v>
      </c>
      <c r="D64" t="s">
        <v>59</v>
      </c>
      <c r="E64" t="s">
        <v>61</v>
      </c>
      <c r="F64" t="s">
        <v>65</v>
      </c>
      <c r="G64">
        <v>0</v>
      </c>
      <c r="H64">
        <v>0</v>
      </c>
      <c r="I64">
        <v>8</v>
      </c>
      <c r="J64" t="s">
        <v>124</v>
      </c>
      <c r="K64">
        <v>3.433333333333334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1</v>
      </c>
      <c r="AA64">
        <v>2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-2</v>
      </c>
      <c r="AL64">
        <v>0</v>
      </c>
      <c r="AM64">
        <v>0</v>
      </c>
      <c r="AQ64">
        <v>0</v>
      </c>
      <c r="AR64">
        <v>0</v>
      </c>
      <c r="AS64">
        <v>0</v>
      </c>
    </row>
    <row r="65" spans="1:45" x14ac:dyDescent="0.25">
      <c r="A65" t="s">
        <v>50</v>
      </c>
      <c r="B65">
        <v>3</v>
      </c>
      <c r="C65" t="s">
        <v>49</v>
      </c>
      <c r="D65" t="s">
        <v>59</v>
      </c>
      <c r="E65" t="s">
        <v>61</v>
      </c>
      <c r="F65" t="s">
        <v>65</v>
      </c>
      <c r="G65">
        <v>0</v>
      </c>
      <c r="H65">
        <v>1</v>
      </c>
      <c r="I65">
        <v>9</v>
      </c>
      <c r="J65" t="s">
        <v>125</v>
      </c>
      <c r="K65">
        <v>22.35</v>
      </c>
      <c r="L65">
        <v>4</v>
      </c>
      <c r="M65">
        <v>2</v>
      </c>
      <c r="N65">
        <v>4</v>
      </c>
      <c r="O65">
        <v>50</v>
      </c>
      <c r="P65">
        <v>0</v>
      </c>
      <c r="Q65">
        <v>0</v>
      </c>
      <c r="R65">
        <v>0</v>
      </c>
      <c r="S65">
        <v>2</v>
      </c>
      <c r="T65">
        <v>4</v>
      </c>
      <c r="U65">
        <v>50</v>
      </c>
      <c r="V65">
        <v>0</v>
      </c>
      <c r="W65">
        <v>1</v>
      </c>
      <c r="X65">
        <v>0</v>
      </c>
      <c r="Y65">
        <v>3</v>
      </c>
      <c r="Z65">
        <v>4</v>
      </c>
      <c r="AA65">
        <v>7</v>
      </c>
      <c r="AB65">
        <v>2</v>
      </c>
      <c r="AC65">
        <v>1</v>
      </c>
      <c r="AD65">
        <v>3</v>
      </c>
      <c r="AE65">
        <v>0</v>
      </c>
      <c r="AF65">
        <v>0</v>
      </c>
      <c r="AG65">
        <v>0</v>
      </c>
      <c r="AH65">
        <v>3</v>
      </c>
      <c r="AI65">
        <v>1</v>
      </c>
      <c r="AJ65">
        <v>6</v>
      </c>
      <c r="AK65">
        <v>3</v>
      </c>
      <c r="AL65">
        <v>7.44</v>
      </c>
      <c r="AM65">
        <v>0.33288590604026852</v>
      </c>
      <c r="AN65">
        <v>45.05</v>
      </c>
      <c r="AO65">
        <v>40.32</v>
      </c>
      <c r="AP65">
        <v>0</v>
      </c>
      <c r="AQ65">
        <v>90.09</v>
      </c>
      <c r="AR65">
        <v>0</v>
      </c>
      <c r="AS65">
        <v>9.91</v>
      </c>
    </row>
    <row r="66" spans="1:45" x14ac:dyDescent="0.25">
      <c r="A66" t="s">
        <v>50</v>
      </c>
      <c r="B66">
        <v>3</v>
      </c>
      <c r="C66" t="s">
        <v>49</v>
      </c>
      <c r="D66" t="s">
        <v>59</v>
      </c>
      <c r="E66" t="s">
        <v>61</v>
      </c>
      <c r="F66" t="s">
        <v>65</v>
      </c>
      <c r="G66">
        <v>0</v>
      </c>
      <c r="H66">
        <v>1</v>
      </c>
      <c r="I66">
        <v>10</v>
      </c>
      <c r="J66" t="s">
        <v>126</v>
      </c>
      <c r="K66">
        <v>32.35</v>
      </c>
      <c r="L66">
        <v>18</v>
      </c>
      <c r="M66">
        <v>9</v>
      </c>
      <c r="N66">
        <v>15</v>
      </c>
      <c r="O66">
        <v>60</v>
      </c>
      <c r="P66">
        <v>0</v>
      </c>
      <c r="Q66">
        <v>5</v>
      </c>
      <c r="R66">
        <v>0</v>
      </c>
      <c r="S66">
        <v>9</v>
      </c>
      <c r="T66">
        <v>20</v>
      </c>
      <c r="U66">
        <v>45</v>
      </c>
      <c r="V66">
        <v>0</v>
      </c>
      <c r="W66">
        <v>0</v>
      </c>
      <c r="X66">
        <v>0</v>
      </c>
      <c r="Y66">
        <v>5</v>
      </c>
      <c r="Z66">
        <v>5</v>
      </c>
      <c r="AA66">
        <v>10</v>
      </c>
      <c r="AB66">
        <v>3</v>
      </c>
      <c r="AC66">
        <v>0</v>
      </c>
      <c r="AD66">
        <v>3</v>
      </c>
      <c r="AE66">
        <v>0</v>
      </c>
      <c r="AF66">
        <v>0</v>
      </c>
      <c r="AG66">
        <v>0</v>
      </c>
      <c r="AH66">
        <v>4</v>
      </c>
      <c r="AI66">
        <v>1</v>
      </c>
      <c r="AJ66">
        <v>14</v>
      </c>
      <c r="AK66">
        <v>-1</v>
      </c>
      <c r="AL66">
        <v>23</v>
      </c>
      <c r="AM66">
        <v>0.71097372488408039</v>
      </c>
      <c r="AN66">
        <v>45</v>
      </c>
      <c r="AO66">
        <v>13.04</v>
      </c>
      <c r="AP66">
        <v>0</v>
      </c>
      <c r="AQ66">
        <v>75</v>
      </c>
      <c r="AR66">
        <v>25</v>
      </c>
      <c r="AS66">
        <v>0</v>
      </c>
    </row>
    <row r="67" spans="1:45" x14ac:dyDescent="0.25">
      <c r="A67" t="s">
        <v>50</v>
      </c>
      <c r="B67">
        <v>3</v>
      </c>
      <c r="C67" t="s">
        <v>49</v>
      </c>
      <c r="D67" t="s">
        <v>59</v>
      </c>
      <c r="E67" t="s">
        <v>61</v>
      </c>
      <c r="F67" t="s">
        <v>65</v>
      </c>
      <c r="G67">
        <v>0</v>
      </c>
      <c r="H67">
        <v>1</v>
      </c>
      <c r="I67">
        <v>11</v>
      </c>
      <c r="J67" t="s">
        <v>127</v>
      </c>
      <c r="K67">
        <v>27.75</v>
      </c>
      <c r="L67">
        <v>6</v>
      </c>
      <c r="M67">
        <v>1</v>
      </c>
      <c r="N67">
        <v>7</v>
      </c>
      <c r="O67">
        <v>14.3</v>
      </c>
      <c r="P67">
        <v>1</v>
      </c>
      <c r="Q67">
        <v>2</v>
      </c>
      <c r="R67">
        <v>50</v>
      </c>
      <c r="S67">
        <v>2</v>
      </c>
      <c r="T67">
        <v>9</v>
      </c>
      <c r="U67">
        <v>22.2</v>
      </c>
      <c r="V67">
        <v>1</v>
      </c>
      <c r="W67">
        <v>3</v>
      </c>
      <c r="X67">
        <v>33.299999999999997</v>
      </c>
      <c r="Y67">
        <v>3</v>
      </c>
      <c r="Z67">
        <v>5</v>
      </c>
      <c r="AA67">
        <v>8</v>
      </c>
      <c r="AB67">
        <v>0</v>
      </c>
      <c r="AC67">
        <v>1</v>
      </c>
      <c r="AD67">
        <v>2</v>
      </c>
      <c r="AE67">
        <v>1</v>
      </c>
      <c r="AF67">
        <v>0</v>
      </c>
      <c r="AG67">
        <v>0</v>
      </c>
      <c r="AH67">
        <v>2</v>
      </c>
      <c r="AI67">
        <v>2</v>
      </c>
      <c r="AJ67">
        <v>5</v>
      </c>
      <c r="AK67">
        <v>2</v>
      </c>
      <c r="AL67">
        <v>12.32</v>
      </c>
      <c r="AM67">
        <v>0.44396396396396398</v>
      </c>
      <c r="AN67">
        <v>29.07</v>
      </c>
      <c r="AO67">
        <v>16.23</v>
      </c>
      <c r="AP67">
        <v>0.1111111111111111</v>
      </c>
      <c r="AQ67">
        <v>67.83</v>
      </c>
      <c r="AR67">
        <v>19.38</v>
      </c>
      <c r="AS67">
        <v>12.79</v>
      </c>
    </row>
    <row r="68" spans="1:45" x14ac:dyDescent="0.25">
      <c r="A68" t="s">
        <v>50</v>
      </c>
      <c r="B68">
        <v>3</v>
      </c>
      <c r="C68" t="s">
        <v>49</v>
      </c>
      <c r="D68" t="s">
        <v>59</v>
      </c>
      <c r="E68" t="s">
        <v>61</v>
      </c>
      <c r="F68" t="s">
        <v>65</v>
      </c>
      <c r="G68">
        <v>0</v>
      </c>
      <c r="H68">
        <v>0</v>
      </c>
      <c r="I68">
        <v>12</v>
      </c>
      <c r="J68" t="s">
        <v>128</v>
      </c>
      <c r="K68">
        <v>3.666666666666667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-2</v>
      </c>
      <c r="AL68">
        <v>1</v>
      </c>
      <c r="AM68">
        <v>0.27272727272727282</v>
      </c>
      <c r="AN68">
        <v>0</v>
      </c>
      <c r="AO68">
        <v>0</v>
      </c>
      <c r="AP68">
        <v>0</v>
      </c>
      <c r="AQ68">
        <v>100</v>
      </c>
      <c r="AR68">
        <v>0</v>
      </c>
      <c r="AS68">
        <v>0</v>
      </c>
    </row>
    <row r="69" spans="1:45" x14ac:dyDescent="0.25">
      <c r="A69" t="s">
        <v>50</v>
      </c>
      <c r="B69">
        <v>3</v>
      </c>
      <c r="C69" t="s">
        <v>49</v>
      </c>
      <c r="D69" t="s">
        <v>59</v>
      </c>
      <c r="E69" t="s">
        <v>61</v>
      </c>
      <c r="F69" t="s">
        <v>65</v>
      </c>
      <c r="G69">
        <v>0</v>
      </c>
      <c r="H69">
        <v>1</v>
      </c>
      <c r="I69">
        <v>14</v>
      </c>
      <c r="J69" t="s">
        <v>129</v>
      </c>
      <c r="K69">
        <v>32.483333333333327</v>
      </c>
      <c r="L69">
        <v>10</v>
      </c>
      <c r="M69">
        <v>2</v>
      </c>
      <c r="N69">
        <v>8</v>
      </c>
      <c r="O69">
        <v>25</v>
      </c>
      <c r="P69">
        <v>2</v>
      </c>
      <c r="Q69">
        <v>6</v>
      </c>
      <c r="R69">
        <v>33.299999999999997</v>
      </c>
      <c r="S69">
        <v>4</v>
      </c>
      <c r="T69">
        <v>14</v>
      </c>
      <c r="U69">
        <v>28.6</v>
      </c>
      <c r="V69">
        <v>0</v>
      </c>
      <c r="W69">
        <v>0</v>
      </c>
      <c r="X69">
        <v>0</v>
      </c>
      <c r="Y69">
        <v>1</v>
      </c>
      <c r="Z69">
        <v>4</v>
      </c>
      <c r="AA69">
        <v>5</v>
      </c>
      <c r="AB69">
        <v>3</v>
      </c>
      <c r="AC69">
        <v>1</v>
      </c>
      <c r="AD69">
        <v>2</v>
      </c>
      <c r="AE69">
        <v>0</v>
      </c>
      <c r="AF69">
        <v>0</v>
      </c>
      <c r="AG69">
        <v>0</v>
      </c>
      <c r="AH69">
        <v>1</v>
      </c>
      <c r="AI69">
        <v>3</v>
      </c>
      <c r="AJ69">
        <v>9</v>
      </c>
      <c r="AK69">
        <v>-4</v>
      </c>
      <c r="AL69">
        <v>16</v>
      </c>
      <c r="AM69">
        <v>0.49256028732683432</v>
      </c>
      <c r="AN69">
        <v>35.71</v>
      </c>
      <c r="AO69">
        <v>12.5</v>
      </c>
      <c r="AP69">
        <v>0</v>
      </c>
      <c r="AQ69">
        <v>57.14</v>
      </c>
      <c r="AR69">
        <v>42.86</v>
      </c>
      <c r="AS69">
        <v>0</v>
      </c>
    </row>
    <row r="70" spans="1:45" x14ac:dyDescent="0.25">
      <c r="A70" t="s">
        <v>50</v>
      </c>
      <c r="B70">
        <v>3</v>
      </c>
      <c r="C70" t="s">
        <v>49</v>
      </c>
      <c r="D70" t="s">
        <v>59</v>
      </c>
      <c r="E70" t="s">
        <v>61</v>
      </c>
      <c r="F70" t="s">
        <v>65</v>
      </c>
      <c r="G70">
        <v>0</v>
      </c>
      <c r="H70">
        <v>0</v>
      </c>
      <c r="I70">
        <v>16</v>
      </c>
      <c r="J70" t="s">
        <v>130</v>
      </c>
      <c r="K70">
        <v>10.46666666666667</v>
      </c>
      <c r="L70">
        <v>3</v>
      </c>
      <c r="M70">
        <v>0</v>
      </c>
      <c r="N70">
        <v>1</v>
      </c>
      <c r="O70">
        <v>0</v>
      </c>
      <c r="P70">
        <v>1</v>
      </c>
      <c r="Q70">
        <v>1</v>
      </c>
      <c r="R70">
        <v>100</v>
      </c>
      <c r="S70">
        <v>1</v>
      </c>
      <c r="T70">
        <v>2</v>
      </c>
      <c r="U70">
        <v>50</v>
      </c>
      <c r="V70">
        <v>0</v>
      </c>
      <c r="W70">
        <v>0</v>
      </c>
      <c r="X70">
        <v>0</v>
      </c>
      <c r="Y70">
        <v>2</v>
      </c>
      <c r="Z70">
        <v>1</v>
      </c>
      <c r="AA70">
        <v>3</v>
      </c>
      <c r="AB70">
        <v>0</v>
      </c>
      <c r="AC70">
        <v>2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2</v>
      </c>
      <c r="AJ70">
        <v>7</v>
      </c>
      <c r="AK70">
        <v>-4</v>
      </c>
      <c r="AL70">
        <v>3</v>
      </c>
      <c r="AM70">
        <v>0.28662420382165599</v>
      </c>
      <c r="AN70">
        <v>75</v>
      </c>
      <c r="AO70">
        <v>33.33</v>
      </c>
      <c r="AP70">
        <v>0</v>
      </c>
      <c r="AQ70">
        <v>50</v>
      </c>
      <c r="AR70">
        <v>50</v>
      </c>
      <c r="AS70">
        <v>0</v>
      </c>
    </row>
    <row r="71" spans="1:45" x14ac:dyDescent="0.25">
      <c r="A71" t="s">
        <v>50</v>
      </c>
      <c r="B71">
        <v>3</v>
      </c>
      <c r="C71" t="s">
        <v>49</v>
      </c>
      <c r="D71" t="s">
        <v>59</v>
      </c>
      <c r="E71" t="s">
        <v>61</v>
      </c>
      <c r="F71" t="s">
        <v>65</v>
      </c>
      <c r="G71">
        <v>0</v>
      </c>
      <c r="H71">
        <v>0</v>
      </c>
      <c r="I71">
        <v>18</v>
      </c>
      <c r="J71" t="s">
        <v>131</v>
      </c>
      <c r="K71">
        <v>17.733333333333331</v>
      </c>
      <c r="L71">
        <v>13</v>
      </c>
      <c r="M71">
        <v>5</v>
      </c>
      <c r="N71">
        <v>9</v>
      </c>
      <c r="O71">
        <v>55.6</v>
      </c>
      <c r="P71">
        <v>0</v>
      </c>
      <c r="Q71">
        <v>0</v>
      </c>
      <c r="R71">
        <v>0</v>
      </c>
      <c r="S71">
        <v>5</v>
      </c>
      <c r="T71">
        <v>9</v>
      </c>
      <c r="U71">
        <v>55.6</v>
      </c>
      <c r="V71">
        <v>3</v>
      </c>
      <c r="W71">
        <v>10</v>
      </c>
      <c r="X71">
        <v>30</v>
      </c>
      <c r="Y71">
        <v>7</v>
      </c>
      <c r="Z71">
        <v>7</v>
      </c>
      <c r="AA71">
        <v>14</v>
      </c>
      <c r="AB71">
        <v>0</v>
      </c>
      <c r="AC71">
        <v>0</v>
      </c>
      <c r="AD71">
        <v>0</v>
      </c>
      <c r="AE71">
        <v>2</v>
      </c>
      <c r="AF71">
        <v>0</v>
      </c>
      <c r="AG71">
        <v>0</v>
      </c>
      <c r="AH71">
        <v>1</v>
      </c>
      <c r="AI71">
        <v>7</v>
      </c>
      <c r="AJ71">
        <v>24</v>
      </c>
      <c r="AK71">
        <v>-4</v>
      </c>
      <c r="AL71">
        <v>13.4</v>
      </c>
      <c r="AM71">
        <v>0.75563909774436089</v>
      </c>
      <c r="AN71">
        <v>48.51</v>
      </c>
      <c r="AO71">
        <v>0</v>
      </c>
      <c r="AP71">
        <v>0.33333333333333331</v>
      </c>
      <c r="AQ71">
        <v>67.16</v>
      </c>
      <c r="AR71">
        <v>0</v>
      </c>
      <c r="AS71">
        <v>32.840000000000003</v>
      </c>
    </row>
    <row r="72" spans="1:45" x14ac:dyDescent="0.25">
      <c r="A72" t="s">
        <v>50</v>
      </c>
      <c r="B72">
        <v>3</v>
      </c>
      <c r="C72" t="s">
        <v>49</v>
      </c>
      <c r="D72" t="s">
        <v>59</v>
      </c>
      <c r="E72" t="s">
        <v>61</v>
      </c>
      <c r="F72" t="s">
        <v>65</v>
      </c>
      <c r="G72">
        <v>0</v>
      </c>
      <c r="H72">
        <v>0</v>
      </c>
      <c r="J72" t="s">
        <v>76</v>
      </c>
      <c r="K72">
        <v>225</v>
      </c>
      <c r="L72">
        <v>72</v>
      </c>
      <c r="M72">
        <v>25</v>
      </c>
      <c r="N72">
        <v>74</v>
      </c>
      <c r="O72">
        <v>33.799999999999997</v>
      </c>
      <c r="P72">
        <v>6</v>
      </c>
      <c r="Q72">
        <v>22</v>
      </c>
      <c r="R72">
        <v>27.3</v>
      </c>
      <c r="S72">
        <v>31</v>
      </c>
      <c r="T72">
        <v>96</v>
      </c>
      <c r="U72">
        <v>32.299999999999997</v>
      </c>
      <c r="V72">
        <v>4</v>
      </c>
      <c r="W72">
        <v>14</v>
      </c>
      <c r="X72">
        <v>28.6</v>
      </c>
      <c r="Y72">
        <v>26</v>
      </c>
      <c r="Z72">
        <v>37</v>
      </c>
      <c r="AA72">
        <v>63</v>
      </c>
      <c r="AB72">
        <v>16</v>
      </c>
      <c r="AC72">
        <v>8</v>
      </c>
      <c r="AD72">
        <v>14</v>
      </c>
      <c r="AE72">
        <v>3</v>
      </c>
      <c r="AF72">
        <v>2</v>
      </c>
      <c r="AG72">
        <v>0</v>
      </c>
      <c r="AH72">
        <v>23</v>
      </c>
      <c r="AI72">
        <v>18</v>
      </c>
      <c r="AJ72">
        <v>68</v>
      </c>
      <c r="AL72">
        <v>116.16</v>
      </c>
      <c r="AM72">
        <v>0.51626666666666665</v>
      </c>
      <c r="AN72">
        <v>35.24</v>
      </c>
      <c r="AO72">
        <v>12.05</v>
      </c>
      <c r="AP72">
        <v>4.1666666666666657E-2</v>
      </c>
      <c r="AQ72">
        <v>72.44</v>
      </c>
      <c r="AR72">
        <v>21.53</v>
      </c>
      <c r="AS72">
        <v>6.03</v>
      </c>
    </row>
    <row r="73" spans="1:45" x14ac:dyDescent="0.25">
      <c r="A73" t="s">
        <v>51</v>
      </c>
      <c r="B73">
        <v>3</v>
      </c>
      <c r="C73" t="s">
        <v>52</v>
      </c>
      <c r="D73" t="s">
        <v>59</v>
      </c>
      <c r="E73" t="s">
        <v>61</v>
      </c>
      <c r="F73" t="s">
        <v>64</v>
      </c>
      <c r="G73">
        <v>0</v>
      </c>
      <c r="H73">
        <v>1</v>
      </c>
      <c r="I73">
        <v>3</v>
      </c>
      <c r="J73" t="s">
        <v>132</v>
      </c>
      <c r="K73">
        <v>31.93333333333333</v>
      </c>
      <c r="L73">
        <v>11</v>
      </c>
      <c r="M73">
        <v>1</v>
      </c>
      <c r="N73">
        <v>5</v>
      </c>
      <c r="O73">
        <v>20</v>
      </c>
      <c r="P73">
        <v>1</v>
      </c>
      <c r="Q73">
        <v>1</v>
      </c>
      <c r="R73">
        <v>100</v>
      </c>
      <c r="S73">
        <v>2</v>
      </c>
      <c r="T73">
        <v>6</v>
      </c>
      <c r="U73">
        <v>33.299999999999997</v>
      </c>
      <c r="V73">
        <v>6</v>
      </c>
      <c r="W73">
        <v>10</v>
      </c>
      <c r="X73">
        <v>60</v>
      </c>
      <c r="Y73">
        <v>1</v>
      </c>
      <c r="Z73">
        <v>3</v>
      </c>
      <c r="AA73">
        <v>4</v>
      </c>
      <c r="AB73">
        <v>3</v>
      </c>
      <c r="AC73">
        <v>4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7</v>
      </c>
      <c r="AJ73">
        <v>19</v>
      </c>
      <c r="AK73">
        <v>-9</v>
      </c>
      <c r="AL73">
        <v>10.4</v>
      </c>
      <c r="AM73">
        <v>0.325678496868476</v>
      </c>
      <c r="AN73">
        <v>52.88</v>
      </c>
      <c r="AO73">
        <v>0</v>
      </c>
      <c r="AP73">
        <v>1</v>
      </c>
      <c r="AQ73">
        <v>48.08</v>
      </c>
      <c r="AR73">
        <v>9.6199999999999992</v>
      </c>
      <c r="AS73">
        <v>42.31</v>
      </c>
    </row>
    <row r="74" spans="1:45" x14ac:dyDescent="0.25">
      <c r="A74" t="s">
        <v>51</v>
      </c>
      <c r="B74">
        <v>3</v>
      </c>
      <c r="C74" t="s">
        <v>52</v>
      </c>
      <c r="D74" t="s">
        <v>59</v>
      </c>
      <c r="E74" t="s">
        <v>61</v>
      </c>
      <c r="F74" t="s">
        <v>64</v>
      </c>
      <c r="G74">
        <v>0</v>
      </c>
      <c r="H74">
        <v>0</v>
      </c>
      <c r="I74">
        <v>4</v>
      </c>
      <c r="J74" t="s">
        <v>133</v>
      </c>
      <c r="K74">
        <v>17.383333333333329</v>
      </c>
      <c r="L74">
        <v>2</v>
      </c>
      <c r="M74">
        <v>1</v>
      </c>
      <c r="N74">
        <v>1</v>
      </c>
      <c r="O74">
        <v>100</v>
      </c>
      <c r="P74">
        <v>0</v>
      </c>
      <c r="Q74">
        <v>1</v>
      </c>
      <c r="R74">
        <v>0</v>
      </c>
      <c r="S74">
        <v>1</v>
      </c>
      <c r="T74">
        <v>2</v>
      </c>
      <c r="U74">
        <v>50</v>
      </c>
      <c r="V74">
        <v>0</v>
      </c>
      <c r="W74">
        <v>0</v>
      </c>
      <c r="X74">
        <v>0</v>
      </c>
      <c r="Y74">
        <v>1</v>
      </c>
      <c r="Z74">
        <v>2</v>
      </c>
      <c r="AA74">
        <v>3</v>
      </c>
      <c r="AB74">
        <v>2</v>
      </c>
      <c r="AC74">
        <v>0</v>
      </c>
      <c r="AD74">
        <v>2</v>
      </c>
      <c r="AE74">
        <v>0</v>
      </c>
      <c r="AF74">
        <v>0</v>
      </c>
      <c r="AG74">
        <v>0</v>
      </c>
      <c r="AH74">
        <v>2</v>
      </c>
      <c r="AI74">
        <v>1</v>
      </c>
      <c r="AJ74">
        <v>3</v>
      </c>
      <c r="AK74">
        <v>-8</v>
      </c>
      <c r="AL74">
        <v>4</v>
      </c>
      <c r="AM74">
        <v>0.2301054650047939</v>
      </c>
      <c r="AN74">
        <v>50</v>
      </c>
      <c r="AO74">
        <v>50</v>
      </c>
      <c r="AP74">
        <v>0</v>
      </c>
      <c r="AQ74">
        <v>50</v>
      </c>
      <c r="AR74">
        <v>50</v>
      </c>
      <c r="AS74">
        <v>0</v>
      </c>
    </row>
    <row r="75" spans="1:45" x14ac:dyDescent="0.25">
      <c r="A75" t="s">
        <v>51</v>
      </c>
      <c r="B75">
        <v>3</v>
      </c>
      <c r="C75" t="s">
        <v>52</v>
      </c>
      <c r="D75" t="s">
        <v>59</v>
      </c>
      <c r="E75" t="s">
        <v>61</v>
      </c>
      <c r="F75" t="s">
        <v>64</v>
      </c>
      <c r="G75">
        <v>0</v>
      </c>
      <c r="H75">
        <v>1</v>
      </c>
      <c r="I75">
        <v>5</v>
      </c>
      <c r="J75" t="s">
        <v>134</v>
      </c>
      <c r="K75">
        <v>16.666666666666671</v>
      </c>
      <c r="L75">
        <v>5</v>
      </c>
      <c r="M75">
        <v>1</v>
      </c>
      <c r="N75">
        <v>1</v>
      </c>
      <c r="O75">
        <v>100</v>
      </c>
      <c r="P75">
        <v>1</v>
      </c>
      <c r="Q75">
        <v>2</v>
      </c>
      <c r="R75">
        <v>50</v>
      </c>
      <c r="S75">
        <v>2</v>
      </c>
      <c r="T75">
        <v>3</v>
      </c>
      <c r="U75">
        <v>66.7</v>
      </c>
      <c r="V75">
        <v>0</v>
      </c>
      <c r="W75">
        <v>0</v>
      </c>
      <c r="X75">
        <v>0</v>
      </c>
      <c r="Y75">
        <v>0</v>
      </c>
      <c r="Z75">
        <v>3</v>
      </c>
      <c r="AA75">
        <v>3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6</v>
      </c>
      <c r="AK75">
        <v>-5</v>
      </c>
      <c r="AL75">
        <v>4</v>
      </c>
      <c r="AM75">
        <v>0.24</v>
      </c>
      <c r="AN75">
        <v>83.33</v>
      </c>
      <c r="AO75">
        <v>25</v>
      </c>
      <c r="AP75">
        <v>0</v>
      </c>
      <c r="AQ75">
        <v>33.33</v>
      </c>
      <c r="AR75">
        <v>66.67</v>
      </c>
      <c r="AS75">
        <v>0</v>
      </c>
    </row>
    <row r="76" spans="1:45" x14ac:dyDescent="0.25">
      <c r="A76" t="s">
        <v>51</v>
      </c>
      <c r="B76">
        <v>3</v>
      </c>
      <c r="C76" t="s">
        <v>52</v>
      </c>
      <c r="D76" t="s">
        <v>59</v>
      </c>
      <c r="E76" t="s">
        <v>61</v>
      </c>
      <c r="F76" t="s">
        <v>64</v>
      </c>
      <c r="G76">
        <v>0</v>
      </c>
      <c r="H76">
        <v>0</v>
      </c>
      <c r="I76">
        <v>8</v>
      </c>
      <c r="J76" t="s">
        <v>135</v>
      </c>
      <c r="K76">
        <v>8.3333333333333339</v>
      </c>
      <c r="L76">
        <v>3</v>
      </c>
      <c r="M76">
        <v>0</v>
      </c>
      <c r="N76">
        <v>1</v>
      </c>
      <c r="O76">
        <v>0</v>
      </c>
      <c r="P76">
        <v>1</v>
      </c>
      <c r="Q76">
        <v>1</v>
      </c>
      <c r="R76">
        <v>100</v>
      </c>
      <c r="S76">
        <v>1</v>
      </c>
      <c r="T76">
        <v>2</v>
      </c>
      <c r="U76">
        <v>50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-8</v>
      </c>
      <c r="AL76">
        <v>3</v>
      </c>
      <c r="AM76">
        <v>0.36</v>
      </c>
      <c r="AN76">
        <v>75</v>
      </c>
      <c r="AO76">
        <v>33.33</v>
      </c>
      <c r="AP76">
        <v>0</v>
      </c>
      <c r="AQ76">
        <v>50</v>
      </c>
      <c r="AR76">
        <v>50</v>
      </c>
      <c r="AS76">
        <v>0</v>
      </c>
    </row>
    <row r="77" spans="1:45" x14ac:dyDescent="0.25">
      <c r="A77" t="s">
        <v>51</v>
      </c>
      <c r="B77">
        <v>3</v>
      </c>
      <c r="C77" t="s">
        <v>52</v>
      </c>
      <c r="D77" t="s">
        <v>59</v>
      </c>
      <c r="E77" t="s">
        <v>61</v>
      </c>
      <c r="F77" t="s">
        <v>64</v>
      </c>
      <c r="G77">
        <v>0</v>
      </c>
      <c r="H77">
        <v>0</v>
      </c>
      <c r="I77">
        <v>10</v>
      </c>
      <c r="J77" t="s">
        <v>136</v>
      </c>
      <c r="K77">
        <v>27.833333333333329</v>
      </c>
      <c r="L77">
        <v>7</v>
      </c>
      <c r="M77">
        <v>2</v>
      </c>
      <c r="N77">
        <v>10</v>
      </c>
      <c r="O77">
        <v>20</v>
      </c>
      <c r="P77">
        <v>0</v>
      </c>
      <c r="Q77">
        <v>4</v>
      </c>
      <c r="R77">
        <v>0</v>
      </c>
      <c r="S77">
        <v>2</v>
      </c>
      <c r="T77">
        <v>14</v>
      </c>
      <c r="U77">
        <v>14.3</v>
      </c>
      <c r="V77">
        <v>3</v>
      </c>
      <c r="W77">
        <v>4</v>
      </c>
      <c r="X77">
        <v>75</v>
      </c>
      <c r="Y77">
        <v>3</v>
      </c>
      <c r="Z77">
        <v>2</v>
      </c>
      <c r="AA77">
        <v>5</v>
      </c>
      <c r="AB77">
        <v>0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2</v>
      </c>
      <c r="AI77">
        <v>2</v>
      </c>
      <c r="AJ77">
        <v>-1</v>
      </c>
      <c r="AK77">
        <v>0</v>
      </c>
      <c r="AL77">
        <v>16.760000000000002</v>
      </c>
      <c r="AM77">
        <v>0.60215568862275448</v>
      </c>
      <c r="AN77">
        <v>22.21</v>
      </c>
      <c r="AO77">
        <v>5.97</v>
      </c>
      <c r="AP77">
        <v>0.2142857142857143</v>
      </c>
      <c r="AQ77">
        <v>63.45</v>
      </c>
      <c r="AR77">
        <v>25.38</v>
      </c>
      <c r="AS77">
        <v>11.17</v>
      </c>
    </row>
    <row r="78" spans="1:45" x14ac:dyDescent="0.25">
      <c r="A78" t="s">
        <v>51</v>
      </c>
      <c r="B78">
        <v>3</v>
      </c>
      <c r="C78" t="s">
        <v>52</v>
      </c>
      <c r="D78" t="s">
        <v>59</v>
      </c>
      <c r="E78" t="s">
        <v>61</v>
      </c>
      <c r="F78" t="s">
        <v>64</v>
      </c>
      <c r="G78">
        <v>0</v>
      </c>
      <c r="H78">
        <v>0</v>
      </c>
      <c r="I78">
        <v>14</v>
      </c>
      <c r="J78" t="s">
        <v>137</v>
      </c>
      <c r="K78">
        <v>21.666666666666671</v>
      </c>
      <c r="L78">
        <v>8</v>
      </c>
      <c r="M78">
        <v>1</v>
      </c>
      <c r="N78">
        <v>3</v>
      </c>
      <c r="O78">
        <v>33.299999999999997</v>
      </c>
      <c r="P78">
        <v>1</v>
      </c>
      <c r="Q78">
        <v>2</v>
      </c>
      <c r="R78">
        <v>50</v>
      </c>
      <c r="S78">
        <v>2</v>
      </c>
      <c r="T78">
        <v>5</v>
      </c>
      <c r="U78">
        <v>40</v>
      </c>
      <c r="V78">
        <v>3</v>
      </c>
      <c r="W78">
        <v>3</v>
      </c>
      <c r="X78">
        <v>100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1</v>
      </c>
      <c r="AI78">
        <v>2</v>
      </c>
      <c r="AJ78">
        <v>6</v>
      </c>
      <c r="AK78">
        <v>8</v>
      </c>
      <c r="AL78">
        <v>7.32</v>
      </c>
      <c r="AM78">
        <v>0.33784615384615391</v>
      </c>
      <c r="AN78">
        <v>63.29</v>
      </c>
      <c r="AO78">
        <v>13.66</v>
      </c>
      <c r="AP78">
        <v>0.6</v>
      </c>
      <c r="AQ78">
        <v>47.47</v>
      </c>
      <c r="AR78">
        <v>31.65</v>
      </c>
      <c r="AS78">
        <v>20.89</v>
      </c>
    </row>
    <row r="79" spans="1:45" x14ac:dyDescent="0.25">
      <c r="A79" t="s">
        <v>51</v>
      </c>
      <c r="B79">
        <v>3</v>
      </c>
      <c r="C79" t="s">
        <v>52</v>
      </c>
      <c r="D79" t="s">
        <v>59</v>
      </c>
      <c r="E79" t="s">
        <v>61</v>
      </c>
      <c r="F79" t="s">
        <v>64</v>
      </c>
      <c r="G79">
        <v>0</v>
      </c>
      <c r="H79">
        <v>0</v>
      </c>
      <c r="I79">
        <v>15</v>
      </c>
      <c r="J79" t="s">
        <v>138</v>
      </c>
      <c r="K79">
        <v>20.766666666666669</v>
      </c>
      <c r="L79">
        <v>4</v>
      </c>
      <c r="M79">
        <v>1</v>
      </c>
      <c r="N79">
        <v>7</v>
      </c>
      <c r="O79">
        <v>14.3</v>
      </c>
      <c r="P79">
        <v>0</v>
      </c>
      <c r="Q79">
        <v>0</v>
      </c>
      <c r="R79">
        <v>0</v>
      </c>
      <c r="S79">
        <v>1</v>
      </c>
      <c r="T79">
        <v>7</v>
      </c>
      <c r="U79">
        <v>14.3</v>
      </c>
      <c r="V79">
        <v>2</v>
      </c>
      <c r="W79">
        <v>2</v>
      </c>
      <c r="X79">
        <v>100</v>
      </c>
      <c r="Y79">
        <v>2</v>
      </c>
      <c r="Z79">
        <v>4</v>
      </c>
      <c r="AA79">
        <v>6</v>
      </c>
      <c r="AB79">
        <v>1</v>
      </c>
      <c r="AC79">
        <v>1</v>
      </c>
      <c r="AD79">
        <v>2</v>
      </c>
      <c r="AE79">
        <v>0</v>
      </c>
      <c r="AF79">
        <v>0</v>
      </c>
      <c r="AG79">
        <v>0</v>
      </c>
      <c r="AH79">
        <v>1</v>
      </c>
      <c r="AI79">
        <v>3</v>
      </c>
      <c r="AJ79">
        <v>6</v>
      </c>
      <c r="AK79">
        <v>-11</v>
      </c>
      <c r="AL79">
        <v>9.879999999999999</v>
      </c>
      <c r="AM79">
        <v>0.47576243980738359</v>
      </c>
      <c r="AN79">
        <v>25.38</v>
      </c>
      <c r="AO79">
        <v>20.239999999999998</v>
      </c>
      <c r="AP79">
        <v>0.2857142857142857</v>
      </c>
      <c r="AQ79">
        <v>88.83</v>
      </c>
      <c r="AR79">
        <v>0</v>
      </c>
      <c r="AS79">
        <v>11.17</v>
      </c>
    </row>
    <row r="80" spans="1:45" x14ac:dyDescent="0.25">
      <c r="A80" t="s">
        <v>51</v>
      </c>
      <c r="B80">
        <v>3</v>
      </c>
      <c r="C80" t="s">
        <v>52</v>
      </c>
      <c r="D80" t="s">
        <v>59</v>
      </c>
      <c r="E80" t="s">
        <v>61</v>
      </c>
      <c r="F80" t="s">
        <v>64</v>
      </c>
      <c r="G80">
        <v>0</v>
      </c>
      <c r="H80">
        <v>1</v>
      </c>
      <c r="I80">
        <v>16</v>
      </c>
      <c r="J80" t="s">
        <v>139</v>
      </c>
      <c r="K80">
        <v>3.7666666666666671</v>
      </c>
      <c r="L80">
        <v>3</v>
      </c>
      <c r="M80">
        <v>0</v>
      </c>
      <c r="N80">
        <v>1</v>
      </c>
      <c r="O80">
        <v>0</v>
      </c>
      <c r="P80">
        <v>1</v>
      </c>
      <c r="Q80">
        <v>1</v>
      </c>
      <c r="R80">
        <v>100</v>
      </c>
      <c r="S80">
        <v>1</v>
      </c>
      <c r="T80">
        <v>2</v>
      </c>
      <c r="U80">
        <v>50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4</v>
      </c>
      <c r="AI80">
        <v>0</v>
      </c>
      <c r="AJ80">
        <v>0</v>
      </c>
      <c r="AK80">
        <v>1</v>
      </c>
      <c r="AL80">
        <v>2</v>
      </c>
      <c r="AM80">
        <v>0.53097345132743368</v>
      </c>
      <c r="AN80">
        <v>75</v>
      </c>
      <c r="AO80">
        <v>0</v>
      </c>
      <c r="AP80">
        <v>0</v>
      </c>
      <c r="AQ80">
        <v>50</v>
      </c>
      <c r="AR80">
        <v>50</v>
      </c>
      <c r="AS80">
        <v>0</v>
      </c>
    </row>
    <row r="81" spans="1:45" x14ac:dyDescent="0.25">
      <c r="A81" t="s">
        <v>51</v>
      </c>
      <c r="B81">
        <v>3</v>
      </c>
      <c r="C81" t="s">
        <v>52</v>
      </c>
      <c r="D81" t="s">
        <v>59</v>
      </c>
      <c r="E81" t="s">
        <v>61</v>
      </c>
      <c r="F81" t="s">
        <v>64</v>
      </c>
      <c r="G81">
        <v>0</v>
      </c>
      <c r="H81">
        <v>1</v>
      </c>
      <c r="I81">
        <v>22</v>
      </c>
      <c r="J81" t="s">
        <v>140</v>
      </c>
      <c r="K81">
        <v>27.633333333333329</v>
      </c>
      <c r="L81">
        <v>4</v>
      </c>
      <c r="M81">
        <v>2</v>
      </c>
      <c r="N81">
        <v>2</v>
      </c>
      <c r="O81">
        <v>100</v>
      </c>
      <c r="P81">
        <v>0</v>
      </c>
      <c r="Q81">
        <v>0</v>
      </c>
      <c r="R81">
        <v>0</v>
      </c>
      <c r="S81">
        <v>2</v>
      </c>
      <c r="T81">
        <v>2</v>
      </c>
      <c r="U81">
        <v>100</v>
      </c>
      <c r="V81">
        <v>0</v>
      </c>
      <c r="W81">
        <v>0</v>
      </c>
      <c r="X81">
        <v>0</v>
      </c>
      <c r="Y81">
        <v>1</v>
      </c>
      <c r="Z81">
        <v>5</v>
      </c>
      <c r="AA81">
        <v>6</v>
      </c>
      <c r="AB81">
        <v>1</v>
      </c>
      <c r="AC81">
        <v>1</v>
      </c>
      <c r="AD81">
        <v>3</v>
      </c>
      <c r="AE81">
        <v>0</v>
      </c>
      <c r="AF81">
        <v>0</v>
      </c>
      <c r="AG81">
        <v>0</v>
      </c>
      <c r="AH81">
        <v>2</v>
      </c>
      <c r="AI81">
        <v>1</v>
      </c>
      <c r="AJ81">
        <v>8</v>
      </c>
      <c r="AK81">
        <v>2</v>
      </c>
      <c r="AL81">
        <v>5</v>
      </c>
      <c r="AM81">
        <v>0.18094089264173699</v>
      </c>
      <c r="AN81">
        <v>100</v>
      </c>
      <c r="AO81">
        <v>60</v>
      </c>
      <c r="AP81">
        <v>0</v>
      </c>
      <c r="AQ81">
        <v>100</v>
      </c>
      <c r="AR81">
        <v>0</v>
      </c>
      <c r="AS81">
        <v>0</v>
      </c>
    </row>
    <row r="82" spans="1:45" x14ac:dyDescent="0.25">
      <c r="A82" t="s">
        <v>51</v>
      </c>
      <c r="B82">
        <v>3</v>
      </c>
      <c r="C82" t="s">
        <v>52</v>
      </c>
      <c r="D82" t="s">
        <v>59</v>
      </c>
      <c r="E82" t="s">
        <v>61</v>
      </c>
      <c r="F82" t="s">
        <v>64</v>
      </c>
      <c r="G82">
        <v>0</v>
      </c>
      <c r="H82">
        <v>1</v>
      </c>
      <c r="I82">
        <v>24</v>
      </c>
      <c r="J82" t="s">
        <v>141</v>
      </c>
      <c r="K82">
        <v>24.016666666666669</v>
      </c>
      <c r="L82">
        <v>11</v>
      </c>
      <c r="M82">
        <v>1</v>
      </c>
      <c r="N82">
        <v>3</v>
      </c>
      <c r="O82">
        <v>33.299999999999997</v>
      </c>
      <c r="P82">
        <v>3</v>
      </c>
      <c r="Q82">
        <v>5</v>
      </c>
      <c r="R82">
        <v>60</v>
      </c>
      <c r="S82">
        <v>4</v>
      </c>
      <c r="T82">
        <v>8</v>
      </c>
      <c r="U82">
        <v>50</v>
      </c>
      <c r="V82">
        <v>0</v>
      </c>
      <c r="W82">
        <v>0</v>
      </c>
      <c r="X82">
        <v>0</v>
      </c>
      <c r="Y82">
        <v>0</v>
      </c>
      <c r="Z82">
        <v>4</v>
      </c>
      <c r="AA82">
        <v>4</v>
      </c>
      <c r="AB82">
        <v>0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3</v>
      </c>
      <c r="AI82">
        <v>0</v>
      </c>
      <c r="AJ82">
        <v>8</v>
      </c>
      <c r="AK82">
        <v>10</v>
      </c>
      <c r="AL82">
        <v>9</v>
      </c>
      <c r="AM82">
        <v>0.37473976405274118</v>
      </c>
      <c r="AN82">
        <v>68.75</v>
      </c>
      <c r="AO82">
        <v>11.11</v>
      </c>
      <c r="AP82">
        <v>0</v>
      </c>
      <c r="AQ82">
        <v>37.5</v>
      </c>
      <c r="AR82">
        <v>62.5</v>
      </c>
      <c r="AS82">
        <v>0</v>
      </c>
    </row>
    <row r="83" spans="1:45" x14ac:dyDescent="0.25">
      <c r="A83" t="s">
        <v>51</v>
      </c>
      <c r="B83">
        <v>3</v>
      </c>
      <c r="C83" t="s">
        <v>52</v>
      </c>
      <c r="D83" t="s">
        <v>59</v>
      </c>
      <c r="E83" t="s">
        <v>61</v>
      </c>
      <c r="F83" t="s">
        <v>64</v>
      </c>
      <c r="G83">
        <v>0</v>
      </c>
      <c r="H83">
        <v>0</v>
      </c>
      <c r="J83" t="s">
        <v>76</v>
      </c>
      <c r="K83">
        <v>200</v>
      </c>
      <c r="L83">
        <v>58</v>
      </c>
      <c r="M83">
        <v>10</v>
      </c>
      <c r="N83">
        <v>34</v>
      </c>
      <c r="O83">
        <v>29.4</v>
      </c>
      <c r="P83">
        <v>8</v>
      </c>
      <c r="Q83">
        <v>17</v>
      </c>
      <c r="R83">
        <v>47.1</v>
      </c>
      <c r="S83">
        <v>18</v>
      </c>
      <c r="T83">
        <v>51</v>
      </c>
      <c r="U83">
        <v>35.299999999999997</v>
      </c>
      <c r="V83">
        <v>14</v>
      </c>
      <c r="W83">
        <v>19</v>
      </c>
      <c r="X83">
        <v>73.7</v>
      </c>
      <c r="Y83">
        <v>8</v>
      </c>
      <c r="Z83">
        <v>24</v>
      </c>
      <c r="AA83">
        <v>32</v>
      </c>
      <c r="AB83">
        <v>8</v>
      </c>
      <c r="AC83">
        <v>9</v>
      </c>
      <c r="AD83">
        <v>12</v>
      </c>
      <c r="AE83">
        <v>0</v>
      </c>
      <c r="AF83">
        <v>0</v>
      </c>
      <c r="AG83">
        <v>0</v>
      </c>
      <c r="AH83">
        <v>18</v>
      </c>
      <c r="AI83">
        <v>16</v>
      </c>
      <c r="AJ83">
        <v>55</v>
      </c>
      <c r="AL83">
        <v>71.36</v>
      </c>
      <c r="AM83">
        <v>0.35680000000000001</v>
      </c>
      <c r="AN83">
        <v>48.85</v>
      </c>
      <c r="AO83">
        <v>16.82</v>
      </c>
      <c r="AP83">
        <v>0.27450980392156871</v>
      </c>
      <c r="AQ83">
        <v>57.28</v>
      </c>
      <c r="AR83">
        <v>28.64</v>
      </c>
      <c r="AS83">
        <v>14.08</v>
      </c>
    </row>
    <row r="84" spans="1:45" x14ac:dyDescent="0.25">
      <c r="A84" t="s">
        <v>52</v>
      </c>
      <c r="B84">
        <v>3</v>
      </c>
      <c r="C84" t="s">
        <v>51</v>
      </c>
      <c r="D84" t="s">
        <v>59</v>
      </c>
      <c r="E84" t="s">
        <v>61</v>
      </c>
      <c r="F84" t="s">
        <v>65</v>
      </c>
      <c r="G84">
        <v>1</v>
      </c>
      <c r="H84">
        <v>0</v>
      </c>
      <c r="I84">
        <v>3</v>
      </c>
      <c r="J84" t="s">
        <v>142</v>
      </c>
      <c r="K84">
        <v>17.5</v>
      </c>
      <c r="L84">
        <v>11</v>
      </c>
      <c r="M84">
        <v>2</v>
      </c>
      <c r="N84">
        <v>3</v>
      </c>
      <c r="O84">
        <v>66.7</v>
      </c>
      <c r="P84">
        <v>2</v>
      </c>
      <c r="Q84">
        <v>5</v>
      </c>
      <c r="R84">
        <v>40</v>
      </c>
      <c r="S84">
        <v>4</v>
      </c>
      <c r="T84">
        <v>8</v>
      </c>
      <c r="U84">
        <v>50</v>
      </c>
      <c r="V84">
        <v>1</v>
      </c>
      <c r="W84">
        <v>2</v>
      </c>
      <c r="X84">
        <v>50</v>
      </c>
      <c r="Y84">
        <v>0</v>
      </c>
      <c r="Z84">
        <v>3</v>
      </c>
      <c r="AA84">
        <v>3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9</v>
      </c>
      <c r="AK84">
        <v>4</v>
      </c>
      <c r="AL84">
        <v>8.8800000000000008</v>
      </c>
      <c r="AM84">
        <v>0.50742857142857145</v>
      </c>
      <c r="AN84">
        <v>61.94</v>
      </c>
      <c r="AO84">
        <v>0</v>
      </c>
      <c r="AP84">
        <v>0.125</v>
      </c>
      <c r="AQ84">
        <v>33.78</v>
      </c>
      <c r="AR84">
        <v>56.31</v>
      </c>
      <c r="AS84">
        <v>9.91</v>
      </c>
    </row>
    <row r="85" spans="1:45" x14ac:dyDescent="0.25">
      <c r="A85" t="s">
        <v>52</v>
      </c>
      <c r="B85">
        <v>3</v>
      </c>
      <c r="C85" t="s">
        <v>51</v>
      </c>
      <c r="D85" t="s">
        <v>59</v>
      </c>
      <c r="E85" t="s">
        <v>61</v>
      </c>
      <c r="F85" t="s">
        <v>65</v>
      </c>
      <c r="G85">
        <v>1</v>
      </c>
      <c r="H85">
        <v>0</v>
      </c>
      <c r="I85">
        <v>4</v>
      </c>
      <c r="J85" t="s">
        <v>143</v>
      </c>
      <c r="K85">
        <v>3.45</v>
      </c>
      <c r="L85">
        <v>0</v>
      </c>
      <c r="M85">
        <v>0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-1</v>
      </c>
      <c r="AK85">
        <v>3</v>
      </c>
      <c r="AL85">
        <v>2</v>
      </c>
      <c r="AM85">
        <v>0.57971014492753625</v>
      </c>
      <c r="AN85">
        <v>0</v>
      </c>
      <c r="AO85">
        <v>0</v>
      </c>
      <c r="AP85">
        <v>0</v>
      </c>
      <c r="AQ85">
        <v>100</v>
      </c>
      <c r="AR85">
        <v>0</v>
      </c>
      <c r="AS85">
        <v>0</v>
      </c>
    </row>
    <row r="86" spans="1:45" x14ac:dyDescent="0.25">
      <c r="A86" t="s">
        <v>52</v>
      </c>
      <c r="B86">
        <v>3</v>
      </c>
      <c r="C86" t="s">
        <v>51</v>
      </c>
      <c r="D86" t="s">
        <v>59</v>
      </c>
      <c r="E86" t="s">
        <v>61</v>
      </c>
      <c r="F86" t="s">
        <v>65</v>
      </c>
      <c r="G86">
        <v>1</v>
      </c>
      <c r="H86">
        <v>1</v>
      </c>
      <c r="I86">
        <v>7</v>
      </c>
      <c r="J86" t="s">
        <v>144</v>
      </c>
      <c r="K86">
        <v>26.166666666666671</v>
      </c>
      <c r="L86">
        <v>6</v>
      </c>
      <c r="M86">
        <v>0</v>
      </c>
      <c r="N86">
        <v>0</v>
      </c>
      <c r="O86">
        <v>0</v>
      </c>
      <c r="P86">
        <v>2</v>
      </c>
      <c r="Q86">
        <v>6</v>
      </c>
      <c r="R86">
        <v>33.299999999999997</v>
      </c>
      <c r="S86">
        <v>2</v>
      </c>
      <c r="T86">
        <v>6</v>
      </c>
      <c r="U86">
        <v>33.299999999999997</v>
      </c>
      <c r="V86">
        <v>0</v>
      </c>
      <c r="W86">
        <v>0</v>
      </c>
      <c r="X86">
        <v>0</v>
      </c>
      <c r="Y86">
        <v>0</v>
      </c>
      <c r="Z86">
        <v>4</v>
      </c>
      <c r="AA86">
        <v>4</v>
      </c>
      <c r="AB86">
        <v>3</v>
      </c>
      <c r="AC86">
        <v>1</v>
      </c>
      <c r="AD86">
        <v>2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9</v>
      </c>
      <c r="AK86">
        <v>13</v>
      </c>
      <c r="AL86">
        <v>8</v>
      </c>
      <c r="AM86">
        <v>0.30573248407643311</v>
      </c>
      <c r="AN86">
        <v>50</v>
      </c>
      <c r="AO86">
        <v>25</v>
      </c>
      <c r="AP86">
        <v>0</v>
      </c>
      <c r="AQ86">
        <v>0</v>
      </c>
      <c r="AR86">
        <v>100</v>
      </c>
      <c r="AS86">
        <v>0</v>
      </c>
    </row>
    <row r="87" spans="1:45" x14ac:dyDescent="0.25">
      <c r="A87" t="s">
        <v>52</v>
      </c>
      <c r="B87">
        <v>3</v>
      </c>
      <c r="C87" t="s">
        <v>51</v>
      </c>
      <c r="D87" t="s">
        <v>59</v>
      </c>
      <c r="E87" t="s">
        <v>61</v>
      </c>
      <c r="F87" t="s">
        <v>65</v>
      </c>
      <c r="G87">
        <v>1</v>
      </c>
      <c r="H87">
        <v>0</v>
      </c>
      <c r="I87">
        <v>8</v>
      </c>
      <c r="J87" t="s">
        <v>145</v>
      </c>
      <c r="K87">
        <v>9.2833333333333332</v>
      </c>
      <c r="L87">
        <v>0</v>
      </c>
      <c r="M87">
        <v>0</v>
      </c>
      <c r="N87">
        <v>0</v>
      </c>
      <c r="O87">
        <v>0</v>
      </c>
      <c r="P87">
        <v>0</v>
      </c>
      <c r="Q87">
        <v>3</v>
      </c>
      <c r="R87">
        <v>0</v>
      </c>
      <c r="S87">
        <v>0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>
        <v>1</v>
      </c>
      <c r="AD87">
        <v>2</v>
      </c>
      <c r="AE87">
        <v>0</v>
      </c>
      <c r="AF87">
        <v>0</v>
      </c>
      <c r="AG87">
        <v>0</v>
      </c>
      <c r="AH87">
        <v>2</v>
      </c>
      <c r="AI87">
        <v>0</v>
      </c>
      <c r="AJ87">
        <v>-5</v>
      </c>
      <c r="AK87">
        <v>0</v>
      </c>
      <c r="AL87">
        <v>5</v>
      </c>
      <c r="AM87">
        <v>0.53859964093357271</v>
      </c>
      <c r="AN87">
        <v>0</v>
      </c>
      <c r="AO87">
        <v>40</v>
      </c>
      <c r="AP87">
        <v>0</v>
      </c>
      <c r="AQ87">
        <v>0</v>
      </c>
      <c r="AR87">
        <v>100</v>
      </c>
      <c r="AS87">
        <v>0</v>
      </c>
    </row>
    <row r="88" spans="1:45" x14ac:dyDescent="0.25">
      <c r="A88" t="s">
        <v>52</v>
      </c>
      <c r="B88">
        <v>3</v>
      </c>
      <c r="C88" t="s">
        <v>51</v>
      </c>
      <c r="D88" t="s">
        <v>59</v>
      </c>
      <c r="E88" t="s">
        <v>61</v>
      </c>
      <c r="F88" t="s">
        <v>65</v>
      </c>
      <c r="G88">
        <v>1</v>
      </c>
      <c r="H88">
        <v>0</v>
      </c>
      <c r="I88">
        <v>11</v>
      </c>
      <c r="J88" t="s">
        <v>146</v>
      </c>
      <c r="K88">
        <v>11.16666666666667</v>
      </c>
      <c r="L88">
        <v>0</v>
      </c>
      <c r="M88">
        <v>0</v>
      </c>
      <c r="N88">
        <v>3</v>
      </c>
      <c r="O88">
        <v>0</v>
      </c>
      <c r="P88">
        <v>0</v>
      </c>
      <c r="Q88">
        <v>1</v>
      </c>
      <c r="R88">
        <v>0</v>
      </c>
      <c r="S88">
        <v>0</v>
      </c>
      <c r="T88">
        <v>4</v>
      </c>
      <c r="U88">
        <v>0</v>
      </c>
      <c r="V88">
        <v>0</v>
      </c>
      <c r="W88">
        <v>0</v>
      </c>
      <c r="X88">
        <v>0</v>
      </c>
      <c r="Y88">
        <v>2</v>
      </c>
      <c r="Z88">
        <v>2</v>
      </c>
      <c r="AA88">
        <v>4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-1</v>
      </c>
      <c r="AK88">
        <v>-3</v>
      </c>
      <c r="AL88">
        <v>5</v>
      </c>
      <c r="AM88">
        <v>0.44776119402985082</v>
      </c>
      <c r="AN88">
        <v>0</v>
      </c>
      <c r="AO88">
        <v>20</v>
      </c>
      <c r="AP88">
        <v>0</v>
      </c>
      <c r="AQ88">
        <v>75</v>
      </c>
      <c r="AR88">
        <v>25</v>
      </c>
      <c r="AS88">
        <v>0</v>
      </c>
    </row>
    <row r="89" spans="1:45" x14ac:dyDescent="0.25">
      <c r="A89" t="s">
        <v>52</v>
      </c>
      <c r="B89">
        <v>3</v>
      </c>
      <c r="C89" t="s">
        <v>51</v>
      </c>
      <c r="D89" t="s">
        <v>59</v>
      </c>
      <c r="E89" t="s">
        <v>61</v>
      </c>
      <c r="F89" t="s">
        <v>65</v>
      </c>
      <c r="G89">
        <v>1</v>
      </c>
      <c r="H89">
        <v>0</v>
      </c>
      <c r="I89">
        <v>16</v>
      </c>
      <c r="J89" t="s">
        <v>147</v>
      </c>
      <c r="K89">
        <v>18.016666666666669</v>
      </c>
      <c r="L89">
        <v>6</v>
      </c>
      <c r="M89">
        <v>0</v>
      </c>
      <c r="N89">
        <v>1</v>
      </c>
      <c r="O89">
        <v>0</v>
      </c>
      <c r="P89">
        <v>2</v>
      </c>
      <c r="Q89">
        <v>2</v>
      </c>
      <c r="R89">
        <v>100</v>
      </c>
      <c r="S89">
        <v>2</v>
      </c>
      <c r="T89">
        <v>3</v>
      </c>
      <c r="U89">
        <v>66.7</v>
      </c>
      <c r="V89">
        <v>0</v>
      </c>
      <c r="W89">
        <v>1</v>
      </c>
      <c r="X89">
        <v>0</v>
      </c>
      <c r="Y89">
        <v>0</v>
      </c>
      <c r="Z89">
        <v>1</v>
      </c>
      <c r="AA89">
        <v>1</v>
      </c>
      <c r="AB89">
        <v>1</v>
      </c>
      <c r="AC89">
        <v>0</v>
      </c>
      <c r="AD89">
        <v>2</v>
      </c>
      <c r="AE89">
        <v>0</v>
      </c>
      <c r="AF89">
        <v>0</v>
      </c>
      <c r="AG89">
        <v>0</v>
      </c>
      <c r="AH89">
        <v>3</v>
      </c>
      <c r="AI89">
        <v>2</v>
      </c>
      <c r="AJ89">
        <v>3</v>
      </c>
      <c r="AK89">
        <v>10</v>
      </c>
      <c r="AL89">
        <v>5.44</v>
      </c>
      <c r="AM89">
        <v>0.30194264569842738</v>
      </c>
      <c r="AN89">
        <v>87.21</v>
      </c>
      <c r="AO89">
        <v>36.76</v>
      </c>
      <c r="AP89">
        <v>0</v>
      </c>
      <c r="AQ89">
        <v>29.07</v>
      </c>
      <c r="AR89">
        <v>58.14</v>
      </c>
      <c r="AS89">
        <v>12.79</v>
      </c>
    </row>
    <row r="90" spans="1:45" x14ac:dyDescent="0.25">
      <c r="A90" t="s">
        <v>52</v>
      </c>
      <c r="B90">
        <v>3</v>
      </c>
      <c r="C90" t="s">
        <v>51</v>
      </c>
      <c r="D90" t="s">
        <v>59</v>
      </c>
      <c r="E90" t="s">
        <v>61</v>
      </c>
      <c r="F90" t="s">
        <v>65</v>
      </c>
      <c r="G90">
        <v>1</v>
      </c>
      <c r="H90">
        <v>1</v>
      </c>
      <c r="I90">
        <v>21</v>
      </c>
      <c r="J90" t="s">
        <v>148</v>
      </c>
      <c r="K90">
        <v>16.3</v>
      </c>
      <c r="L90">
        <v>3</v>
      </c>
      <c r="M90">
        <v>0</v>
      </c>
      <c r="N90">
        <v>0</v>
      </c>
      <c r="O90">
        <v>0</v>
      </c>
      <c r="P90">
        <v>1</v>
      </c>
      <c r="Q90">
        <v>2</v>
      </c>
      <c r="R90">
        <v>50</v>
      </c>
      <c r="S90">
        <v>1</v>
      </c>
      <c r="T90">
        <v>2</v>
      </c>
      <c r="U90">
        <v>50</v>
      </c>
      <c r="V90">
        <v>0</v>
      </c>
      <c r="W90">
        <v>2</v>
      </c>
      <c r="X90">
        <v>0</v>
      </c>
      <c r="Y90">
        <v>0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3</v>
      </c>
      <c r="AI90">
        <v>2</v>
      </c>
      <c r="AJ90">
        <v>0</v>
      </c>
      <c r="AK90">
        <v>-6</v>
      </c>
      <c r="AL90">
        <v>2.88</v>
      </c>
      <c r="AM90">
        <v>0.17668711656441721</v>
      </c>
      <c r="AN90">
        <v>52.08</v>
      </c>
      <c r="AO90">
        <v>0</v>
      </c>
      <c r="AP90">
        <v>0</v>
      </c>
      <c r="AQ90">
        <v>0</v>
      </c>
      <c r="AR90">
        <v>69.44</v>
      </c>
      <c r="AS90">
        <v>30.56</v>
      </c>
    </row>
    <row r="91" spans="1:45" x14ac:dyDescent="0.25">
      <c r="A91" t="s">
        <v>52</v>
      </c>
      <c r="B91">
        <v>3</v>
      </c>
      <c r="C91" t="s">
        <v>51</v>
      </c>
      <c r="D91" t="s">
        <v>59</v>
      </c>
      <c r="E91" t="s">
        <v>61</v>
      </c>
      <c r="F91" t="s">
        <v>65</v>
      </c>
      <c r="G91">
        <v>1</v>
      </c>
      <c r="H91">
        <v>1</v>
      </c>
      <c r="I91">
        <v>24</v>
      </c>
      <c r="J91" t="s">
        <v>149</v>
      </c>
      <c r="K91">
        <v>34.766666666666673</v>
      </c>
      <c r="L91">
        <v>17</v>
      </c>
      <c r="M91">
        <v>2</v>
      </c>
      <c r="N91">
        <v>3</v>
      </c>
      <c r="O91">
        <v>66.7</v>
      </c>
      <c r="P91">
        <v>2</v>
      </c>
      <c r="Q91">
        <v>3</v>
      </c>
      <c r="R91">
        <v>66.7</v>
      </c>
      <c r="S91">
        <v>4</v>
      </c>
      <c r="T91">
        <v>6</v>
      </c>
      <c r="U91">
        <v>66.7</v>
      </c>
      <c r="V91">
        <v>7</v>
      </c>
      <c r="W91">
        <v>8</v>
      </c>
      <c r="X91">
        <v>87.5</v>
      </c>
      <c r="Y91">
        <v>6</v>
      </c>
      <c r="Z91">
        <v>2</v>
      </c>
      <c r="AA91">
        <v>8</v>
      </c>
      <c r="AB91">
        <v>3</v>
      </c>
      <c r="AC91">
        <v>0</v>
      </c>
      <c r="AD91">
        <v>3</v>
      </c>
      <c r="AE91">
        <v>0</v>
      </c>
      <c r="AF91">
        <v>0</v>
      </c>
      <c r="AG91">
        <v>0</v>
      </c>
      <c r="AH91">
        <v>2</v>
      </c>
      <c r="AI91">
        <v>5</v>
      </c>
      <c r="AJ91">
        <v>25</v>
      </c>
      <c r="AK91">
        <v>6</v>
      </c>
      <c r="AL91">
        <v>12.52</v>
      </c>
      <c r="AM91">
        <v>0.36011505273250238</v>
      </c>
      <c r="AN91">
        <v>89.29</v>
      </c>
      <c r="AO91">
        <v>23.96</v>
      </c>
      <c r="AP91">
        <v>1.166666666666667</v>
      </c>
      <c r="AQ91">
        <v>31.51</v>
      </c>
      <c r="AR91">
        <v>31.51</v>
      </c>
      <c r="AS91">
        <v>36.97</v>
      </c>
    </row>
    <row r="92" spans="1:45" x14ac:dyDescent="0.25">
      <c r="A92" t="s">
        <v>52</v>
      </c>
      <c r="B92">
        <v>3</v>
      </c>
      <c r="C92" t="s">
        <v>51</v>
      </c>
      <c r="D92" t="s">
        <v>59</v>
      </c>
      <c r="E92" t="s">
        <v>61</v>
      </c>
      <c r="F92" t="s">
        <v>65</v>
      </c>
      <c r="G92">
        <v>1</v>
      </c>
      <c r="H92">
        <v>1</v>
      </c>
      <c r="I92">
        <v>30</v>
      </c>
      <c r="J92" t="s">
        <v>150</v>
      </c>
      <c r="K92">
        <v>29.883333333333329</v>
      </c>
      <c r="L92">
        <v>6</v>
      </c>
      <c r="M92">
        <v>0</v>
      </c>
      <c r="N92">
        <v>1</v>
      </c>
      <c r="O92">
        <v>0</v>
      </c>
      <c r="P92">
        <v>2</v>
      </c>
      <c r="Q92">
        <v>9</v>
      </c>
      <c r="R92">
        <v>22.2</v>
      </c>
      <c r="S92">
        <v>2</v>
      </c>
      <c r="T92">
        <v>10</v>
      </c>
      <c r="U92">
        <v>20</v>
      </c>
      <c r="V92">
        <v>0</v>
      </c>
      <c r="W92">
        <v>0</v>
      </c>
      <c r="X92">
        <v>0</v>
      </c>
      <c r="Y92">
        <v>1</v>
      </c>
      <c r="Z92">
        <v>2</v>
      </c>
      <c r="AA92">
        <v>3</v>
      </c>
      <c r="AB92">
        <v>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1</v>
      </c>
      <c r="AJ92">
        <v>3</v>
      </c>
      <c r="AK92">
        <v>-7</v>
      </c>
      <c r="AL92">
        <v>10</v>
      </c>
      <c r="AM92">
        <v>0.33463469046291128</v>
      </c>
      <c r="AN92">
        <v>30</v>
      </c>
      <c r="AO92">
        <v>0</v>
      </c>
      <c r="AP92">
        <v>0</v>
      </c>
      <c r="AQ92">
        <v>10</v>
      </c>
      <c r="AR92">
        <v>90</v>
      </c>
      <c r="AS92">
        <v>0</v>
      </c>
    </row>
    <row r="93" spans="1:45" x14ac:dyDescent="0.25">
      <c r="A93" t="s">
        <v>52</v>
      </c>
      <c r="B93">
        <v>3</v>
      </c>
      <c r="C93" t="s">
        <v>51</v>
      </c>
      <c r="D93" t="s">
        <v>59</v>
      </c>
      <c r="E93" t="s">
        <v>61</v>
      </c>
      <c r="F93" t="s">
        <v>65</v>
      </c>
      <c r="G93">
        <v>1</v>
      </c>
      <c r="H93">
        <v>1</v>
      </c>
      <c r="I93">
        <v>55</v>
      </c>
      <c r="J93" t="s">
        <v>151</v>
      </c>
      <c r="K93">
        <v>26.733333333333331</v>
      </c>
      <c r="L93">
        <v>13</v>
      </c>
      <c r="M93">
        <v>5</v>
      </c>
      <c r="N93">
        <v>8</v>
      </c>
      <c r="O93">
        <v>62.5</v>
      </c>
      <c r="P93">
        <v>0</v>
      </c>
      <c r="Q93">
        <v>0</v>
      </c>
      <c r="R93">
        <v>0</v>
      </c>
      <c r="S93">
        <v>5</v>
      </c>
      <c r="T93">
        <v>8</v>
      </c>
      <c r="U93">
        <v>62.5</v>
      </c>
      <c r="V93">
        <v>3</v>
      </c>
      <c r="W93">
        <v>7</v>
      </c>
      <c r="X93">
        <v>42.9</v>
      </c>
      <c r="Y93">
        <v>1</v>
      </c>
      <c r="Z93">
        <v>5</v>
      </c>
      <c r="AA93">
        <v>6</v>
      </c>
      <c r="AB93">
        <v>2</v>
      </c>
      <c r="AC93">
        <v>2</v>
      </c>
      <c r="AD93">
        <v>2</v>
      </c>
      <c r="AE93">
        <v>0</v>
      </c>
      <c r="AF93">
        <v>0</v>
      </c>
      <c r="AG93">
        <v>0</v>
      </c>
      <c r="AH93">
        <v>2</v>
      </c>
      <c r="AI93">
        <v>6</v>
      </c>
      <c r="AJ93">
        <v>18</v>
      </c>
      <c r="AK93">
        <v>1</v>
      </c>
      <c r="AL93">
        <v>13.08</v>
      </c>
      <c r="AM93">
        <v>0.48927680798004991</v>
      </c>
      <c r="AN93">
        <v>58.66</v>
      </c>
      <c r="AO93">
        <v>15.29</v>
      </c>
      <c r="AP93">
        <v>0.375</v>
      </c>
      <c r="AQ93">
        <v>72.2</v>
      </c>
      <c r="AR93">
        <v>0</v>
      </c>
      <c r="AS93">
        <v>27.8</v>
      </c>
    </row>
    <row r="94" spans="1:45" x14ac:dyDescent="0.25">
      <c r="A94" t="s">
        <v>52</v>
      </c>
      <c r="B94">
        <v>3</v>
      </c>
      <c r="C94" t="s">
        <v>51</v>
      </c>
      <c r="D94" t="s">
        <v>59</v>
      </c>
      <c r="E94" t="s">
        <v>61</v>
      </c>
      <c r="F94" t="s">
        <v>65</v>
      </c>
      <c r="G94">
        <v>1</v>
      </c>
      <c r="H94">
        <v>0</v>
      </c>
      <c r="I94">
        <v>77</v>
      </c>
      <c r="J94" t="s">
        <v>152</v>
      </c>
      <c r="K94">
        <v>6.7333333333333334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2</v>
      </c>
      <c r="AA94">
        <v>2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2</v>
      </c>
      <c r="AI94">
        <v>0</v>
      </c>
      <c r="AJ94">
        <v>-3</v>
      </c>
      <c r="AK94">
        <v>-1</v>
      </c>
      <c r="AL94">
        <v>3</v>
      </c>
      <c r="AM94">
        <v>0.44554455445544561</v>
      </c>
      <c r="AN94">
        <v>0</v>
      </c>
      <c r="AO94">
        <v>33.33</v>
      </c>
      <c r="AP94">
        <v>0</v>
      </c>
      <c r="AQ94">
        <v>100</v>
      </c>
      <c r="AR94">
        <v>0</v>
      </c>
      <c r="AS94">
        <v>0</v>
      </c>
    </row>
    <row r="95" spans="1:45" x14ac:dyDescent="0.25">
      <c r="A95" t="s">
        <v>52</v>
      </c>
      <c r="B95">
        <v>3</v>
      </c>
      <c r="C95" t="s">
        <v>51</v>
      </c>
      <c r="D95" t="s">
        <v>59</v>
      </c>
      <c r="E95" t="s">
        <v>61</v>
      </c>
      <c r="F95" t="s">
        <v>65</v>
      </c>
      <c r="G95">
        <v>1</v>
      </c>
      <c r="H95">
        <v>0</v>
      </c>
      <c r="J95" t="s">
        <v>76</v>
      </c>
      <c r="K95">
        <v>200</v>
      </c>
      <c r="L95">
        <v>62</v>
      </c>
      <c r="M95">
        <v>9</v>
      </c>
      <c r="N95">
        <v>23</v>
      </c>
      <c r="O95">
        <v>39.1</v>
      </c>
      <c r="P95">
        <v>11</v>
      </c>
      <c r="Q95">
        <v>31</v>
      </c>
      <c r="R95">
        <v>35.5</v>
      </c>
      <c r="S95">
        <v>20</v>
      </c>
      <c r="T95">
        <v>54</v>
      </c>
      <c r="U95">
        <v>37</v>
      </c>
      <c r="V95">
        <v>11</v>
      </c>
      <c r="W95">
        <v>20</v>
      </c>
      <c r="X95">
        <v>55</v>
      </c>
      <c r="Y95">
        <v>10</v>
      </c>
      <c r="Z95">
        <v>23</v>
      </c>
      <c r="AA95">
        <v>33</v>
      </c>
      <c r="AB95">
        <v>11</v>
      </c>
      <c r="AC95">
        <v>6</v>
      </c>
      <c r="AD95">
        <v>13</v>
      </c>
      <c r="AE95">
        <v>0</v>
      </c>
      <c r="AF95">
        <v>0</v>
      </c>
      <c r="AG95">
        <v>0</v>
      </c>
      <c r="AH95">
        <v>16</v>
      </c>
      <c r="AI95">
        <v>17</v>
      </c>
      <c r="AJ95">
        <v>57</v>
      </c>
      <c r="AL95">
        <v>75.8</v>
      </c>
      <c r="AM95">
        <v>0.379</v>
      </c>
      <c r="AN95">
        <v>49.36</v>
      </c>
      <c r="AO95">
        <v>17.149999999999999</v>
      </c>
      <c r="AP95">
        <v>0.20370370370370369</v>
      </c>
      <c r="AQ95">
        <v>36.619999999999997</v>
      </c>
      <c r="AR95">
        <v>49.36</v>
      </c>
      <c r="AS95">
        <v>14.01</v>
      </c>
    </row>
    <row r="96" spans="1:45" x14ac:dyDescent="0.25">
      <c r="A96" t="s">
        <v>53</v>
      </c>
      <c r="B96">
        <v>3</v>
      </c>
      <c r="C96" t="s">
        <v>54</v>
      </c>
      <c r="D96" t="s">
        <v>59</v>
      </c>
      <c r="E96" t="s">
        <v>62</v>
      </c>
      <c r="F96" t="s">
        <v>64</v>
      </c>
      <c r="G96">
        <v>1</v>
      </c>
      <c r="H96">
        <v>0</v>
      </c>
      <c r="I96">
        <v>5</v>
      </c>
      <c r="J96" t="s">
        <v>153</v>
      </c>
      <c r="K96">
        <v>18.399999999999999</v>
      </c>
      <c r="L96">
        <v>8</v>
      </c>
      <c r="M96">
        <v>1</v>
      </c>
      <c r="N96">
        <v>2</v>
      </c>
      <c r="O96">
        <v>50</v>
      </c>
      <c r="P96">
        <v>2</v>
      </c>
      <c r="Q96">
        <v>5</v>
      </c>
      <c r="R96">
        <v>40</v>
      </c>
      <c r="S96">
        <v>3</v>
      </c>
      <c r="T96">
        <v>7</v>
      </c>
      <c r="U96">
        <v>42.9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1</v>
      </c>
      <c r="AJ96">
        <v>9</v>
      </c>
      <c r="AK96">
        <v>9</v>
      </c>
      <c r="AL96">
        <v>7</v>
      </c>
      <c r="AM96">
        <v>0.38043478260869568</v>
      </c>
      <c r="AN96">
        <v>57.14</v>
      </c>
      <c r="AO96">
        <v>0</v>
      </c>
      <c r="AP96">
        <v>0</v>
      </c>
      <c r="AQ96">
        <v>28.57</v>
      </c>
      <c r="AR96">
        <v>71.430000000000007</v>
      </c>
      <c r="AS96">
        <v>0</v>
      </c>
    </row>
    <row r="97" spans="1:45" x14ac:dyDescent="0.25">
      <c r="A97" t="s">
        <v>53</v>
      </c>
      <c r="B97">
        <v>3</v>
      </c>
      <c r="C97" t="s">
        <v>54</v>
      </c>
      <c r="D97" t="s">
        <v>59</v>
      </c>
      <c r="E97" t="s">
        <v>62</v>
      </c>
      <c r="F97" t="s">
        <v>64</v>
      </c>
      <c r="G97">
        <v>1</v>
      </c>
      <c r="H97">
        <v>1</v>
      </c>
      <c r="I97">
        <v>6</v>
      </c>
      <c r="J97" t="s">
        <v>154</v>
      </c>
      <c r="K97">
        <v>16.133333333333329</v>
      </c>
      <c r="L97">
        <v>2</v>
      </c>
      <c r="M97">
        <v>1</v>
      </c>
      <c r="N97">
        <v>2</v>
      </c>
      <c r="O97">
        <v>50</v>
      </c>
      <c r="P97">
        <v>0</v>
      </c>
      <c r="Q97">
        <v>2</v>
      </c>
      <c r="R97">
        <v>0</v>
      </c>
      <c r="S97">
        <v>1</v>
      </c>
      <c r="T97">
        <v>4</v>
      </c>
      <c r="U97">
        <v>25</v>
      </c>
      <c r="V97">
        <v>0</v>
      </c>
      <c r="W97">
        <v>0</v>
      </c>
      <c r="X97">
        <v>0</v>
      </c>
      <c r="Y97">
        <v>1</v>
      </c>
      <c r="Z97">
        <v>1</v>
      </c>
      <c r="AA97">
        <v>2</v>
      </c>
      <c r="AB97">
        <v>3</v>
      </c>
      <c r="AC97">
        <v>1</v>
      </c>
      <c r="AD97">
        <v>1</v>
      </c>
      <c r="AE97">
        <v>1</v>
      </c>
      <c r="AF97">
        <v>0</v>
      </c>
      <c r="AG97">
        <v>1</v>
      </c>
      <c r="AH97">
        <v>1</v>
      </c>
      <c r="AI97">
        <v>0</v>
      </c>
      <c r="AJ97">
        <v>4</v>
      </c>
      <c r="AK97">
        <v>12</v>
      </c>
      <c r="AL97">
        <v>5</v>
      </c>
      <c r="AM97">
        <v>0.30991735537190079</v>
      </c>
      <c r="AN97">
        <v>25</v>
      </c>
      <c r="AO97">
        <v>20</v>
      </c>
      <c r="AP97">
        <v>0</v>
      </c>
      <c r="AQ97">
        <v>50</v>
      </c>
      <c r="AR97">
        <v>50</v>
      </c>
      <c r="AS97">
        <v>0</v>
      </c>
    </row>
    <row r="98" spans="1:45" x14ac:dyDescent="0.25">
      <c r="A98" t="s">
        <v>53</v>
      </c>
      <c r="B98">
        <v>3</v>
      </c>
      <c r="C98" t="s">
        <v>54</v>
      </c>
      <c r="D98" t="s">
        <v>59</v>
      </c>
      <c r="E98" t="s">
        <v>62</v>
      </c>
      <c r="F98" t="s">
        <v>64</v>
      </c>
      <c r="G98">
        <v>1</v>
      </c>
      <c r="H98">
        <v>1</v>
      </c>
      <c r="I98">
        <v>8</v>
      </c>
      <c r="J98" t="s">
        <v>155</v>
      </c>
      <c r="K98">
        <v>29.65</v>
      </c>
      <c r="L98">
        <v>13</v>
      </c>
      <c r="M98">
        <v>3</v>
      </c>
      <c r="N98">
        <v>6</v>
      </c>
      <c r="O98">
        <v>50</v>
      </c>
      <c r="P98">
        <v>0</v>
      </c>
      <c r="Q98">
        <v>1</v>
      </c>
      <c r="R98">
        <v>0</v>
      </c>
      <c r="S98">
        <v>3</v>
      </c>
      <c r="T98">
        <v>7</v>
      </c>
      <c r="U98">
        <v>42.9</v>
      </c>
      <c r="V98">
        <v>7</v>
      </c>
      <c r="W98">
        <v>8</v>
      </c>
      <c r="X98">
        <v>87.5</v>
      </c>
      <c r="Y98">
        <v>4</v>
      </c>
      <c r="Z98">
        <v>9</v>
      </c>
      <c r="AA98">
        <v>13</v>
      </c>
      <c r="AB98">
        <v>2</v>
      </c>
      <c r="AC98">
        <v>1</v>
      </c>
      <c r="AD98">
        <v>4</v>
      </c>
      <c r="AE98">
        <v>1</v>
      </c>
      <c r="AF98">
        <v>0</v>
      </c>
      <c r="AG98">
        <v>0</v>
      </c>
      <c r="AH98">
        <v>2</v>
      </c>
      <c r="AI98">
        <v>10</v>
      </c>
      <c r="AJ98">
        <v>29</v>
      </c>
      <c r="AK98">
        <v>22</v>
      </c>
      <c r="AL98">
        <v>14.52</v>
      </c>
      <c r="AM98">
        <v>0.48971332209106239</v>
      </c>
      <c r="AN98">
        <v>61.79</v>
      </c>
      <c r="AO98">
        <v>27.55</v>
      </c>
      <c r="AP98">
        <v>1</v>
      </c>
      <c r="AQ98">
        <v>57.03</v>
      </c>
      <c r="AR98">
        <v>9.51</v>
      </c>
      <c r="AS98">
        <v>33.46</v>
      </c>
    </row>
    <row r="99" spans="1:45" x14ac:dyDescent="0.25">
      <c r="A99" t="s">
        <v>53</v>
      </c>
      <c r="B99">
        <v>3</v>
      </c>
      <c r="C99" t="s">
        <v>54</v>
      </c>
      <c r="D99" t="s">
        <v>59</v>
      </c>
      <c r="E99" t="s">
        <v>62</v>
      </c>
      <c r="F99" t="s">
        <v>64</v>
      </c>
      <c r="G99">
        <v>1</v>
      </c>
      <c r="H99">
        <v>0</v>
      </c>
      <c r="I99">
        <v>10</v>
      </c>
      <c r="J99" t="s">
        <v>156</v>
      </c>
      <c r="K99">
        <v>7.35</v>
      </c>
      <c r="L99">
        <v>0</v>
      </c>
      <c r="M99">
        <v>0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3</v>
      </c>
      <c r="U99">
        <v>0</v>
      </c>
      <c r="V99">
        <v>0</v>
      </c>
      <c r="W99">
        <v>0</v>
      </c>
      <c r="X99">
        <v>0</v>
      </c>
      <c r="Y99">
        <v>2</v>
      </c>
      <c r="Z99">
        <v>1</v>
      </c>
      <c r="AA99">
        <v>3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-12</v>
      </c>
      <c r="AL99">
        <v>3</v>
      </c>
      <c r="AM99">
        <v>0.40816326530612251</v>
      </c>
      <c r="AN99">
        <v>0</v>
      </c>
      <c r="AO99">
        <v>0</v>
      </c>
      <c r="AP99">
        <v>0</v>
      </c>
      <c r="AQ99">
        <v>100</v>
      </c>
      <c r="AR99">
        <v>0</v>
      </c>
      <c r="AS99">
        <v>0</v>
      </c>
    </row>
    <row r="100" spans="1:45" x14ac:dyDescent="0.25">
      <c r="A100" t="s">
        <v>53</v>
      </c>
      <c r="B100">
        <v>3</v>
      </c>
      <c r="C100" t="s">
        <v>54</v>
      </c>
      <c r="D100" t="s">
        <v>59</v>
      </c>
      <c r="E100" t="s">
        <v>62</v>
      </c>
      <c r="F100" t="s">
        <v>64</v>
      </c>
      <c r="G100">
        <v>1</v>
      </c>
      <c r="H100">
        <v>1</v>
      </c>
      <c r="I100">
        <v>13</v>
      </c>
      <c r="J100" t="s">
        <v>157</v>
      </c>
      <c r="K100">
        <v>23.266666666666669</v>
      </c>
      <c r="L100">
        <v>13</v>
      </c>
      <c r="M100">
        <v>2</v>
      </c>
      <c r="N100">
        <v>3</v>
      </c>
      <c r="O100">
        <v>66.7</v>
      </c>
      <c r="P100">
        <v>3</v>
      </c>
      <c r="Q100">
        <v>8</v>
      </c>
      <c r="R100">
        <v>37.5</v>
      </c>
      <c r="S100">
        <v>5</v>
      </c>
      <c r="T100">
        <v>11</v>
      </c>
      <c r="U100">
        <v>45.5</v>
      </c>
      <c r="V100">
        <v>0</v>
      </c>
      <c r="W100">
        <v>0</v>
      </c>
      <c r="X100">
        <v>0</v>
      </c>
      <c r="Y100">
        <v>1</v>
      </c>
      <c r="Z100">
        <v>3</v>
      </c>
      <c r="AA100">
        <v>4</v>
      </c>
      <c r="AB100">
        <v>4</v>
      </c>
      <c r="AC100">
        <v>1</v>
      </c>
      <c r="AD100">
        <v>4</v>
      </c>
      <c r="AE100">
        <v>0</v>
      </c>
      <c r="AF100">
        <v>0</v>
      </c>
      <c r="AG100">
        <v>0</v>
      </c>
      <c r="AH100">
        <v>4</v>
      </c>
      <c r="AI100">
        <v>0</v>
      </c>
      <c r="AJ100">
        <v>8</v>
      </c>
      <c r="AK100">
        <v>21</v>
      </c>
      <c r="AL100">
        <v>15</v>
      </c>
      <c r="AM100">
        <v>0.64469914040114618</v>
      </c>
      <c r="AN100">
        <v>59.09</v>
      </c>
      <c r="AO100">
        <v>26.67</v>
      </c>
      <c r="AP100">
        <v>0</v>
      </c>
      <c r="AQ100">
        <v>27.27</v>
      </c>
      <c r="AR100">
        <v>72.73</v>
      </c>
      <c r="AS100">
        <v>0</v>
      </c>
    </row>
    <row r="101" spans="1:45" x14ac:dyDescent="0.25">
      <c r="A101" t="s">
        <v>53</v>
      </c>
      <c r="B101">
        <v>3</v>
      </c>
      <c r="C101" t="s">
        <v>54</v>
      </c>
      <c r="D101" t="s">
        <v>59</v>
      </c>
      <c r="E101" t="s">
        <v>62</v>
      </c>
      <c r="F101" t="s">
        <v>64</v>
      </c>
      <c r="G101">
        <v>1</v>
      </c>
      <c r="H101">
        <v>0</v>
      </c>
      <c r="I101">
        <v>14</v>
      </c>
      <c r="J101" t="s">
        <v>158</v>
      </c>
      <c r="K101">
        <v>20.483333333333331</v>
      </c>
      <c r="L101">
        <v>6</v>
      </c>
      <c r="M101">
        <v>3</v>
      </c>
      <c r="N101">
        <v>7</v>
      </c>
      <c r="O101">
        <v>42.9</v>
      </c>
      <c r="P101">
        <v>0</v>
      </c>
      <c r="Q101">
        <v>1</v>
      </c>
      <c r="R101">
        <v>0</v>
      </c>
      <c r="S101">
        <v>3</v>
      </c>
      <c r="T101">
        <v>8</v>
      </c>
      <c r="U101">
        <v>37.5</v>
      </c>
      <c r="V101">
        <v>0</v>
      </c>
      <c r="W101">
        <v>2</v>
      </c>
      <c r="X101">
        <v>0</v>
      </c>
      <c r="Y101">
        <v>1</v>
      </c>
      <c r="Z101">
        <v>4</v>
      </c>
      <c r="AA101">
        <v>5</v>
      </c>
      <c r="AB101">
        <v>1</v>
      </c>
      <c r="AC101">
        <v>1</v>
      </c>
      <c r="AD101">
        <v>1</v>
      </c>
      <c r="AE101">
        <v>0</v>
      </c>
      <c r="AF101">
        <v>1</v>
      </c>
      <c r="AG101">
        <v>0</v>
      </c>
      <c r="AH101">
        <v>2</v>
      </c>
      <c r="AI101">
        <v>2</v>
      </c>
      <c r="AJ101">
        <v>5</v>
      </c>
      <c r="AK101">
        <v>11</v>
      </c>
      <c r="AL101">
        <v>9.8800000000000008</v>
      </c>
      <c r="AM101">
        <v>0.4823433685923515</v>
      </c>
      <c r="AN101">
        <v>33.78</v>
      </c>
      <c r="AO101">
        <v>10.119999999999999</v>
      </c>
      <c r="AP101">
        <v>0</v>
      </c>
      <c r="AQ101">
        <v>78.83</v>
      </c>
      <c r="AR101">
        <v>11.26</v>
      </c>
      <c r="AS101">
        <v>9.91</v>
      </c>
    </row>
    <row r="102" spans="1:45" x14ac:dyDescent="0.25">
      <c r="A102" t="s">
        <v>53</v>
      </c>
      <c r="B102">
        <v>3</v>
      </c>
      <c r="C102" t="s">
        <v>54</v>
      </c>
      <c r="D102" t="s">
        <v>59</v>
      </c>
      <c r="E102" t="s">
        <v>62</v>
      </c>
      <c r="F102" t="s">
        <v>64</v>
      </c>
      <c r="G102">
        <v>1</v>
      </c>
      <c r="H102">
        <v>0</v>
      </c>
      <c r="I102">
        <v>16</v>
      </c>
      <c r="J102" t="s">
        <v>159</v>
      </c>
      <c r="K102">
        <v>3.8666666666666671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2</v>
      </c>
      <c r="X102">
        <v>0</v>
      </c>
      <c r="Y102">
        <v>2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-3</v>
      </c>
      <c r="AL102">
        <v>1.88</v>
      </c>
      <c r="AM102">
        <v>0.48620689655172411</v>
      </c>
      <c r="AN102">
        <v>0</v>
      </c>
      <c r="AO102">
        <v>0</v>
      </c>
      <c r="AP102">
        <v>0</v>
      </c>
      <c r="AQ102">
        <v>53.19</v>
      </c>
      <c r="AR102">
        <v>0</v>
      </c>
      <c r="AS102">
        <v>46.81</v>
      </c>
    </row>
    <row r="103" spans="1:45" x14ac:dyDescent="0.25">
      <c r="A103" t="s">
        <v>53</v>
      </c>
      <c r="B103">
        <v>3</v>
      </c>
      <c r="C103" t="s">
        <v>54</v>
      </c>
      <c r="D103" t="s">
        <v>59</v>
      </c>
      <c r="E103" t="s">
        <v>62</v>
      </c>
      <c r="F103" t="s">
        <v>64</v>
      </c>
      <c r="G103">
        <v>1</v>
      </c>
      <c r="H103">
        <v>0</v>
      </c>
      <c r="I103">
        <v>22</v>
      </c>
      <c r="J103" t="s">
        <v>160</v>
      </c>
      <c r="K103">
        <v>25.5</v>
      </c>
      <c r="L103">
        <v>4</v>
      </c>
      <c r="M103">
        <v>2</v>
      </c>
      <c r="N103">
        <v>5</v>
      </c>
      <c r="O103">
        <v>40</v>
      </c>
      <c r="P103">
        <v>0</v>
      </c>
      <c r="Q103">
        <v>3</v>
      </c>
      <c r="R103">
        <v>0</v>
      </c>
      <c r="S103">
        <v>2</v>
      </c>
      <c r="T103">
        <v>8</v>
      </c>
      <c r="U103">
        <v>25</v>
      </c>
      <c r="V103">
        <v>0</v>
      </c>
      <c r="W103">
        <v>0</v>
      </c>
      <c r="X103">
        <v>0</v>
      </c>
      <c r="Y103">
        <v>3</v>
      </c>
      <c r="Z103">
        <v>5</v>
      </c>
      <c r="AA103">
        <v>8</v>
      </c>
      <c r="AB103">
        <v>1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1</v>
      </c>
      <c r="AI103">
        <v>1</v>
      </c>
      <c r="AJ103">
        <v>8</v>
      </c>
      <c r="AK103">
        <v>2</v>
      </c>
      <c r="AL103">
        <v>9</v>
      </c>
      <c r="AM103">
        <v>0.35294117647058831</v>
      </c>
      <c r="AN103">
        <v>25</v>
      </c>
      <c r="AO103">
        <v>11.11</v>
      </c>
      <c r="AP103">
        <v>0</v>
      </c>
      <c r="AQ103">
        <v>62.5</v>
      </c>
      <c r="AR103">
        <v>37.5</v>
      </c>
      <c r="AS103">
        <v>0</v>
      </c>
    </row>
    <row r="104" spans="1:45" x14ac:dyDescent="0.25">
      <c r="A104" t="s">
        <v>53</v>
      </c>
      <c r="B104">
        <v>3</v>
      </c>
      <c r="C104" t="s">
        <v>54</v>
      </c>
      <c r="D104" t="s">
        <v>59</v>
      </c>
      <c r="E104" t="s">
        <v>62</v>
      </c>
      <c r="F104" t="s">
        <v>64</v>
      </c>
      <c r="G104">
        <v>1</v>
      </c>
      <c r="H104">
        <v>1</v>
      </c>
      <c r="I104">
        <v>23</v>
      </c>
      <c r="J104" t="s">
        <v>161</v>
      </c>
      <c r="K104">
        <v>26.883333333333329</v>
      </c>
      <c r="L104">
        <v>2</v>
      </c>
      <c r="M104">
        <v>1</v>
      </c>
      <c r="N104">
        <v>1</v>
      </c>
      <c r="O104">
        <v>100</v>
      </c>
      <c r="P104">
        <v>0</v>
      </c>
      <c r="Q104">
        <v>3</v>
      </c>
      <c r="R104">
        <v>0</v>
      </c>
      <c r="S104">
        <v>1</v>
      </c>
      <c r="T104">
        <v>4</v>
      </c>
      <c r="U104">
        <v>25</v>
      </c>
      <c r="V104">
        <v>0</v>
      </c>
      <c r="W104">
        <v>0</v>
      </c>
      <c r="X104">
        <v>0</v>
      </c>
      <c r="Y104">
        <v>0</v>
      </c>
      <c r="Z104">
        <v>2</v>
      </c>
      <c r="AA104">
        <v>2</v>
      </c>
      <c r="AB104">
        <v>4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2</v>
      </c>
      <c r="AI104">
        <v>0</v>
      </c>
      <c r="AJ104">
        <v>4</v>
      </c>
      <c r="AK104">
        <v>18</v>
      </c>
      <c r="AL104">
        <v>4</v>
      </c>
      <c r="AM104">
        <v>0.14879107253564791</v>
      </c>
      <c r="AN104">
        <v>25</v>
      </c>
      <c r="AO104">
        <v>0</v>
      </c>
      <c r="AP104">
        <v>0</v>
      </c>
      <c r="AQ104">
        <v>25</v>
      </c>
      <c r="AR104">
        <v>75</v>
      </c>
      <c r="AS104">
        <v>0</v>
      </c>
    </row>
    <row r="105" spans="1:45" x14ac:dyDescent="0.25">
      <c r="A105" t="s">
        <v>53</v>
      </c>
      <c r="B105">
        <v>3</v>
      </c>
      <c r="C105" t="s">
        <v>54</v>
      </c>
      <c r="D105" t="s">
        <v>59</v>
      </c>
      <c r="E105" t="s">
        <v>62</v>
      </c>
      <c r="F105" t="s">
        <v>64</v>
      </c>
      <c r="G105">
        <v>1</v>
      </c>
      <c r="H105">
        <v>1</v>
      </c>
      <c r="I105">
        <v>24</v>
      </c>
      <c r="J105" t="s">
        <v>162</v>
      </c>
      <c r="K105">
        <v>18.18333333333333</v>
      </c>
      <c r="L105">
        <v>21</v>
      </c>
      <c r="M105">
        <v>7</v>
      </c>
      <c r="N105">
        <v>11</v>
      </c>
      <c r="O105">
        <v>63.6</v>
      </c>
      <c r="P105">
        <v>1</v>
      </c>
      <c r="Q105">
        <v>1</v>
      </c>
      <c r="R105">
        <v>100</v>
      </c>
      <c r="S105">
        <v>8</v>
      </c>
      <c r="T105">
        <v>12</v>
      </c>
      <c r="U105">
        <v>66.7</v>
      </c>
      <c r="V105">
        <v>4</v>
      </c>
      <c r="W105">
        <v>4</v>
      </c>
      <c r="X105">
        <v>100</v>
      </c>
      <c r="Y105">
        <v>0</v>
      </c>
      <c r="Z105">
        <v>3</v>
      </c>
      <c r="AA105">
        <v>3</v>
      </c>
      <c r="AB105">
        <v>1</v>
      </c>
      <c r="AC105">
        <v>3</v>
      </c>
      <c r="AD105">
        <v>1</v>
      </c>
      <c r="AE105">
        <v>0</v>
      </c>
      <c r="AF105">
        <v>0</v>
      </c>
      <c r="AG105">
        <v>0</v>
      </c>
      <c r="AH105">
        <v>3</v>
      </c>
      <c r="AI105">
        <v>4</v>
      </c>
      <c r="AJ105">
        <v>24</v>
      </c>
      <c r="AK105">
        <v>22</v>
      </c>
      <c r="AL105">
        <v>14.76</v>
      </c>
      <c r="AM105">
        <v>0.81173235563703028</v>
      </c>
      <c r="AN105">
        <v>76.31</v>
      </c>
      <c r="AO105">
        <v>6.78</v>
      </c>
      <c r="AP105">
        <v>0.33333333333333331</v>
      </c>
      <c r="AQ105">
        <v>79.94</v>
      </c>
      <c r="AR105">
        <v>7.27</v>
      </c>
      <c r="AS105">
        <v>12.79</v>
      </c>
    </row>
    <row r="106" spans="1:45" x14ac:dyDescent="0.25">
      <c r="A106" t="s">
        <v>53</v>
      </c>
      <c r="B106">
        <v>3</v>
      </c>
      <c r="C106" t="s">
        <v>54</v>
      </c>
      <c r="D106" t="s">
        <v>59</v>
      </c>
      <c r="E106" t="s">
        <v>62</v>
      </c>
      <c r="F106" t="s">
        <v>64</v>
      </c>
      <c r="G106">
        <v>1</v>
      </c>
      <c r="H106">
        <v>0</v>
      </c>
      <c r="I106">
        <v>69</v>
      </c>
      <c r="J106" t="s">
        <v>163</v>
      </c>
      <c r="K106">
        <v>8.0166666666666675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1</v>
      </c>
      <c r="AB106">
        <v>1</v>
      </c>
      <c r="AC106">
        <v>0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-3</v>
      </c>
      <c r="AK106">
        <v>1</v>
      </c>
      <c r="AL106">
        <v>4</v>
      </c>
      <c r="AM106">
        <v>0.49896049896049888</v>
      </c>
      <c r="AN106">
        <v>0</v>
      </c>
      <c r="AO106">
        <v>75</v>
      </c>
      <c r="AP106">
        <v>0</v>
      </c>
      <c r="AQ106">
        <v>100</v>
      </c>
      <c r="AR106">
        <v>0</v>
      </c>
      <c r="AS106">
        <v>0</v>
      </c>
    </row>
    <row r="107" spans="1:45" x14ac:dyDescent="0.25">
      <c r="A107" t="s">
        <v>53</v>
      </c>
      <c r="B107">
        <v>3</v>
      </c>
      <c r="C107" t="s">
        <v>54</v>
      </c>
      <c r="D107" t="s">
        <v>59</v>
      </c>
      <c r="E107" t="s">
        <v>62</v>
      </c>
      <c r="F107" t="s">
        <v>64</v>
      </c>
      <c r="G107">
        <v>1</v>
      </c>
      <c r="H107">
        <v>0</v>
      </c>
      <c r="I107">
        <v>95</v>
      </c>
      <c r="J107" t="s">
        <v>164</v>
      </c>
      <c r="K107">
        <v>2.2666666666666671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-1</v>
      </c>
      <c r="AK107">
        <v>2</v>
      </c>
      <c r="AL107">
        <v>2</v>
      </c>
      <c r="AM107">
        <v>0.88235294117647056</v>
      </c>
      <c r="AN107">
        <v>0</v>
      </c>
      <c r="AO107">
        <v>50</v>
      </c>
      <c r="AP107">
        <v>0</v>
      </c>
      <c r="AQ107">
        <v>100</v>
      </c>
      <c r="AR107">
        <v>0</v>
      </c>
      <c r="AS107">
        <v>0</v>
      </c>
    </row>
    <row r="108" spans="1:45" x14ac:dyDescent="0.25">
      <c r="A108" t="s">
        <v>53</v>
      </c>
      <c r="B108">
        <v>3</v>
      </c>
      <c r="C108" t="s">
        <v>54</v>
      </c>
      <c r="D108" t="s">
        <v>59</v>
      </c>
      <c r="E108" t="s">
        <v>62</v>
      </c>
      <c r="F108" t="s">
        <v>64</v>
      </c>
      <c r="G108">
        <v>1</v>
      </c>
      <c r="H108">
        <v>0</v>
      </c>
      <c r="J108" t="s">
        <v>76</v>
      </c>
      <c r="K108">
        <v>200</v>
      </c>
      <c r="L108">
        <v>69</v>
      </c>
      <c r="M108">
        <v>20</v>
      </c>
      <c r="N108">
        <v>43</v>
      </c>
      <c r="O108">
        <v>46.5</v>
      </c>
      <c r="P108">
        <v>6</v>
      </c>
      <c r="Q108">
        <v>24</v>
      </c>
      <c r="R108">
        <v>25</v>
      </c>
      <c r="S108">
        <v>26</v>
      </c>
      <c r="T108">
        <v>67</v>
      </c>
      <c r="U108">
        <v>38.799999999999997</v>
      </c>
      <c r="V108">
        <v>11</v>
      </c>
      <c r="W108">
        <v>16</v>
      </c>
      <c r="X108">
        <v>68.8</v>
      </c>
      <c r="Y108">
        <v>14</v>
      </c>
      <c r="Z108">
        <v>30</v>
      </c>
      <c r="AA108">
        <v>44</v>
      </c>
      <c r="AB108">
        <v>21</v>
      </c>
      <c r="AC108">
        <v>10</v>
      </c>
      <c r="AD108">
        <v>16</v>
      </c>
      <c r="AE108">
        <v>3</v>
      </c>
      <c r="AF108">
        <v>1</v>
      </c>
      <c r="AG108">
        <v>1</v>
      </c>
      <c r="AH108">
        <v>17</v>
      </c>
      <c r="AI108">
        <v>19</v>
      </c>
      <c r="AJ108">
        <v>87</v>
      </c>
      <c r="AL108">
        <v>90.04</v>
      </c>
      <c r="AM108">
        <v>0.45019999999999999</v>
      </c>
      <c r="AN108">
        <v>46.6</v>
      </c>
      <c r="AO108">
        <v>17.77</v>
      </c>
      <c r="AP108">
        <v>0.16417910447761189</v>
      </c>
      <c r="AQ108">
        <v>58.08</v>
      </c>
      <c r="AR108">
        <v>32.409999999999997</v>
      </c>
      <c r="AS108">
        <v>9.51</v>
      </c>
    </row>
    <row r="109" spans="1:45" x14ac:dyDescent="0.25">
      <c r="A109" t="s">
        <v>54</v>
      </c>
      <c r="B109">
        <v>3</v>
      </c>
      <c r="C109" t="s">
        <v>53</v>
      </c>
      <c r="D109" t="s">
        <v>59</v>
      </c>
      <c r="E109" t="s">
        <v>62</v>
      </c>
      <c r="F109" t="s">
        <v>65</v>
      </c>
      <c r="G109">
        <v>0</v>
      </c>
      <c r="H109">
        <v>0</v>
      </c>
      <c r="I109">
        <v>0</v>
      </c>
      <c r="J109" t="s">
        <v>165</v>
      </c>
      <c r="K109">
        <v>33.383333333333333</v>
      </c>
      <c r="L109">
        <v>8</v>
      </c>
      <c r="M109">
        <v>2</v>
      </c>
      <c r="N109">
        <v>3</v>
      </c>
      <c r="O109">
        <v>66.7</v>
      </c>
      <c r="P109">
        <v>0</v>
      </c>
      <c r="Q109">
        <v>3</v>
      </c>
      <c r="R109">
        <v>0</v>
      </c>
      <c r="S109">
        <v>2</v>
      </c>
      <c r="T109">
        <v>6</v>
      </c>
      <c r="U109">
        <v>33.299999999999997</v>
      </c>
      <c r="V109">
        <v>4</v>
      </c>
      <c r="W109">
        <v>4</v>
      </c>
      <c r="X109">
        <v>100</v>
      </c>
      <c r="Y109">
        <v>0</v>
      </c>
      <c r="Z109">
        <v>1</v>
      </c>
      <c r="AA109">
        <v>1</v>
      </c>
      <c r="AB109">
        <v>4</v>
      </c>
      <c r="AC109">
        <v>3</v>
      </c>
      <c r="AD109">
        <v>3</v>
      </c>
      <c r="AE109">
        <v>0</v>
      </c>
      <c r="AF109">
        <v>0</v>
      </c>
      <c r="AG109">
        <v>0</v>
      </c>
      <c r="AH109">
        <v>0</v>
      </c>
      <c r="AI109">
        <v>5</v>
      </c>
      <c r="AJ109">
        <v>14</v>
      </c>
      <c r="AK109">
        <v>-13</v>
      </c>
      <c r="AL109">
        <v>10.76</v>
      </c>
      <c r="AM109">
        <v>0.32231652521218168</v>
      </c>
      <c r="AN109">
        <v>51.55</v>
      </c>
      <c r="AO109">
        <v>27.88</v>
      </c>
      <c r="AP109">
        <v>0.66666666666666663</v>
      </c>
      <c r="AQ109">
        <v>38.659999999999997</v>
      </c>
      <c r="AR109">
        <v>38.659999999999997</v>
      </c>
      <c r="AS109">
        <v>22.68</v>
      </c>
    </row>
    <row r="110" spans="1:45" x14ac:dyDescent="0.25">
      <c r="A110" t="s">
        <v>54</v>
      </c>
      <c r="B110">
        <v>3</v>
      </c>
      <c r="C110" t="s">
        <v>53</v>
      </c>
      <c r="D110" t="s">
        <v>59</v>
      </c>
      <c r="E110" t="s">
        <v>62</v>
      </c>
      <c r="F110" t="s">
        <v>65</v>
      </c>
      <c r="G110">
        <v>0</v>
      </c>
      <c r="H110">
        <v>1</v>
      </c>
      <c r="I110">
        <v>1</v>
      </c>
      <c r="J110" t="s">
        <v>166</v>
      </c>
      <c r="K110">
        <v>30.8</v>
      </c>
      <c r="L110">
        <v>11</v>
      </c>
      <c r="M110">
        <v>5</v>
      </c>
      <c r="N110">
        <v>14</v>
      </c>
      <c r="O110">
        <v>35.700000000000003</v>
      </c>
      <c r="P110">
        <v>0</v>
      </c>
      <c r="Q110">
        <v>1</v>
      </c>
      <c r="R110">
        <v>0</v>
      </c>
      <c r="S110">
        <v>5</v>
      </c>
      <c r="T110">
        <v>15</v>
      </c>
      <c r="U110">
        <v>33.299999999999997</v>
      </c>
      <c r="V110">
        <v>1</v>
      </c>
      <c r="W110">
        <v>2</v>
      </c>
      <c r="X110">
        <v>50</v>
      </c>
      <c r="Y110">
        <v>4</v>
      </c>
      <c r="Z110">
        <v>4</v>
      </c>
      <c r="AA110">
        <v>8</v>
      </c>
      <c r="AB110">
        <v>0</v>
      </c>
      <c r="AC110">
        <v>2</v>
      </c>
      <c r="AD110">
        <v>5</v>
      </c>
      <c r="AE110">
        <v>0</v>
      </c>
      <c r="AF110">
        <v>1</v>
      </c>
      <c r="AG110">
        <v>0</v>
      </c>
      <c r="AH110">
        <v>5</v>
      </c>
      <c r="AI110">
        <v>1</v>
      </c>
      <c r="AJ110">
        <v>1</v>
      </c>
      <c r="AK110">
        <v>-14</v>
      </c>
      <c r="AL110">
        <v>20.88</v>
      </c>
      <c r="AM110">
        <v>0.67792207792207804</v>
      </c>
      <c r="AN110">
        <v>34.630000000000003</v>
      </c>
      <c r="AO110">
        <v>23.95</v>
      </c>
      <c r="AP110">
        <v>6.6666666666666666E-2</v>
      </c>
      <c r="AQ110">
        <v>88.16</v>
      </c>
      <c r="AR110">
        <v>6.3</v>
      </c>
      <c r="AS110">
        <v>5.54</v>
      </c>
    </row>
    <row r="111" spans="1:45" x14ac:dyDescent="0.25">
      <c r="A111" t="s">
        <v>54</v>
      </c>
      <c r="B111">
        <v>3</v>
      </c>
      <c r="C111" t="s">
        <v>53</v>
      </c>
      <c r="D111" t="s">
        <v>59</v>
      </c>
      <c r="E111" t="s">
        <v>62</v>
      </c>
      <c r="F111" t="s">
        <v>65</v>
      </c>
      <c r="G111">
        <v>0</v>
      </c>
      <c r="H111">
        <v>0</v>
      </c>
      <c r="I111">
        <v>4</v>
      </c>
      <c r="J111" t="s">
        <v>167</v>
      </c>
      <c r="K111">
        <v>31.216666666666669</v>
      </c>
      <c r="L111">
        <v>8</v>
      </c>
      <c r="M111">
        <v>1</v>
      </c>
      <c r="N111">
        <v>4</v>
      </c>
      <c r="O111">
        <v>25</v>
      </c>
      <c r="P111">
        <v>2</v>
      </c>
      <c r="Q111">
        <v>5</v>
      </c>
      <c r="R111">
        <v>40</v>
      </c>
      <c r="S111">
        <v>3</v>
      </c>
      <c r="T111">
        <v>9</v>
      </c>
      <c r="U111">
        <v>33.299999999999997</v>
      </c>
      <c r="V111">
        <v>0</v>
      </c>
      <c r="W111">
        <v>2</v>
      </c>
      <c r="X111">
        <v>0</v>
      </c>
      <c r="Y111">
        <v>0</v>
      </c>
      <c r="Z111">
        <v>3</v>
      </c>
      <c r="AA111">
        <v>3</v>
      </c>
      <c r="AB111">
        <v>4</v>
      </c>
      <c r="AC111">
        <v>2</v>
      </c>
      <c r="AD111">
        <v>1</v>
      </c>
      <c r="AE111">
        <v>0</v>
      </c>
      <c r="AF111">
        <v>0</v>
      </c>
      <c r="AG111">
        <v>0</v>
      </c>
      <c r="AH111">
        <v>3</v>
      </c>
      <c r="AI111">
        <v>3</v>
      </c>
      <c r="AJ111">
        <v>8</v>
      </c>
      <c r="AK111">
        <v>-9</v>
      </c>
      <c r="AL111">
        <v>10.88</v>
      </c>
      <c r="AM111">
        <v>0.34853176721836632</v>
      </c>
      <c r="AN111">
        <v>40.49</v>
      </c>
      <c r="AO111">
        <v>9.19</v>
      </c>
      <c r="AP111">
        <v>0</v>
      </c>
      <c r="AQ111">
        <v>40.49</v>
      </c>
      <c r="AR111">
        <v>50.61</v>
      </c>
      <c r="AS111">
        <v>8.91</v>
      </c>
    </row>
    <row r="112" spans="1:45" x14ac:dyDescent="0.25">
      <c r="A112" t="s">
        <v>54</v>
      </c>
      <c r="B112">
        <v>3</v>
      </c>
      <c r="C112" t="s">
        <v>53</v>
      </c>
      <c r="D112" t="s">
        <v>59</v>
      </c>
      <c r="E112" t="s">
        <v>62</v>
      </c>
      <c r="F112" t="s">
        <v>65</v>
      </c>
      <c r="G112">
        <v>0</v>
      </c>
      <c r="H112">
        <v>1</v>
      </c>
      <c r="I112">
        <v>5</v>
      </c>
      <c r="J112" t="s">
        <v>168</v>
      </c>
      <c r="K112">
        <v>5.6333333333333329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2</v>
      </c>
      <c r="Z112">
        <v>1</v>
      </c>
      <c r="AA112">
        <v>3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</v>
      </c>
      <c r="AK112">
        <v>-8</v>
      </c>
      <c r="AL112">
        <v>1</v>
      </c>
      <c r="AM112">
        <v>0.1775147928994083</v>
      </c>
      <c r="AN112">
        <v>0</v>
      </c>
      <c r="AO112">
        <v>0</v>
      </c>
      <c r="AP112">
        <v>0</v>
      </c>
      <c r="AQ112">
        <v>100</v>
      </c>
      <c r="AR112">
        <v>0</v>
      </c>
      <c r="AS112">
        <v>0</v>
      </c>
    </row>
    <row r="113" spans="1:45" x14ac:dyDescent="0.25">
      <c r="A113" t="s">
        <v>54</v>
      </c>
      <c r="B113">
        <v>3</v>
      </c>
      <c r="C113" t="s">
        <v>53</v>
      </c>
      <c r="D113" t="s">
        <v>59</v>
      </c>
      <c r="E113" t="s">
        <v>62</v>
      </c>
      <c r="F113" t="s">
        <v>65</v>
      </c>
      <c r="G113">
        <v>0</v>
      </c>
      <c r="H113">
        <v>1</v>
      </c>
      <c r="I113">
        <v>8</v>
      </c>
      <c r="J113" t="s">
        <v>169</v>
      </c>
      <c r="K113">
        <v>28.266666666666669</v>
      </c>
      <c r="L113">
        <v>9</v>
      </c>
      <c r="M113">
        <v>2</v>
      </c>
      <c r="N113">
        <v>6</v>
      </c>
      <c r="O113">
        <v>33.299999999999997</v>
      </c>
      <c r="P113">
        <v>1</v>
      </c>
      <c r="Q113">
        <v>4</v>
      </c>
      <c r="R113">
        <v>25</v>
      </c>
      <c r="S113">
        <v>3</v>
      </c>
      <c r="T113">
        <v>10</v>
      </c>
      <c r="U113">
        <v>30</v>
      </c>
      <c r="V113">
        <v>2</v>
      </c>
      <c r="W113">
        <v>2</v>
      </c>
      <c r="X113">
        <v>100</v>
      </c>
      <c r="Y113">
        <v>1</v>
      </c>
      <c r="Z113">
        <v>3</v>
      </c>
      <c r="AA113">
        <v>4</v>
      </c>
      <c r="AB113">
        <v>1</v>
      </c>
      <c r="AC113">
        <v>1</v>
      </c>
      <c r="AD113">
        <v>1</v>
      </c>
      <c r="AE113">
        <v>0</v>
      </c>
      <c r="AF113">
        <v>1</v>
      </c>
      <c r="AG113">
        <v>0</v>
      </c>
      <c r="AH113">
        <v>2</v>
      </c>
      <c r="AI113">
        <v>3</v>
      </c>
      <c r="AJ113">
        <v>8</v>
      </c>
      <c r="AK113">
        <v>-15</v>
      </c>
      <c r="AL113">
        <v>11.88</v>
      </c>
      <c r="AM113">
        <v>0.42028301886792457</v>
      </c>
      <c r="AN113">
        <v>41.36</v>
      </c>
      <c r="AO113">
        <v>8.42</v>
      </c>
      <c r="AP113">
        <v>0.2</v>
      </c>
      <c r="AQ113">
        <v>55.15</v>
      </c>
      <c r="AR113">
        <v>36.76</v>
      </c>
      <c r="AS113">
        <v>8.09</v>
      </c>
    </row>
    <row r="114" spans="1:45" x14ac:dyDescent="0.25">
      <c r="A114" t="s">
        <v>54</v>
      </c>
      <c r="B114">
        <v>3</v>
      </c>
      <c r="C114" t="s">
        <v>53</v>
      </c>
      <c r="D114" t="s">
        <v>59</v>
      </c>
      <c r="E114" t="s">
        <v>62</v>
      </c>
      <c r="F114" t="s">
        <v>65</v>
      </c>
      <c r="G114">
        <v>0</v>
      </c>
      <c r="H114">
        <v>1</v>
      </c>
      <c r="I114">
        <v>9</v>
      </c>
      <c r="J114" t="s">
        <v>170</v>
      </c>
      <c r="K114">
        <v>31.06666666666667</v>
      </c>
      <c r="L114">
        <v>4</v>
      </c>
      <c r="M114">
        <v>1</v>
      </c>
      <c r="N114">
        <v>6</v>
      </c>
      <c r="O114">
        <v>16.7</v>
      </c>
      <c r="P114">
        <v>0</v>
      </c>
      <c r="Q114">
        <v>2</v>
      </c>
      <c r="R114">
        <v>0</v>
      </c>
      <c r="S114">
        <v>1</v>
      </c>
      <c r="T114">
        <v>8</v>
      </c>
      <c r="U114">
        <v>12.5</v>
      </c>
      <c r="V114">
        <v>2</v>
      </c>
      <c r="W114">
        <v>2</v>
      </c>
      <c r="X114">
        <v>100</v>
      </c>
      <c r="Y114">
        <v>0</v>
      </c>
      <c r="Z114">
        <v>2</v>
      </c>
      <c r="AA114">
        <v>2</v>
      </c>
      <c r="AB114">
        <v>3</v>
      </c>
      <c r="AC114">
        <v>1</v>
      </c>
      <c r="AD114">
        <v>3</v>
      </c>
      <c r="AE114">
        <v>0</v>
      </c>
      <c r="AF114">
        <v>1</v>
      </c>
      <c r="AG114">
        <v>0</v>
      </c>
      <c r="AH114">
        <v>2</v>
      </c>
      <c r="AI114">
        <v>3</v>
      </c>
      <c r="AJ114">
        <v>1</v>
      </c>
      <c r="AK114">
        <v>-28</v>
      </c>
      <c r="AL114">
        <v>11.88</v>
      </c>
      <c r="AM114">
        <v>0.38240343347639488</v>
      </c>
      <c r="AN114">
        <v>22.52</v>
      </c>
      <c r="AO114">
        <v>25.25</v>
      </c>
      <c r="AP114">
        <v>0.25</v>
      </c>
      <c r="AQ114">
        <v>67.569999999999993</v>
      </c>
      <c r="AR114">
        <v>22.52</v>
      </c>
      <c r="AS114">
        <v>9.91</v>
      </c>
    </row>
    <row r="115" spans="1:45" x14ac:dyDescent="0.25">
      <c r="A115" t="s">
        <v>54</v>
      </c>
      <c r="B115">
        <v>3</v>
      </c>
      <c r="C115" t="s">
        <v>53</v>
      </c>
      <c r="D115" t="s">
        <v>59</v>
      </c>
      <c r="E115" t="s">
        <v>62</v>
      </c>
      <c r="F115" t="s">
        <v>65</v>
      </c>
      <c r="G115">
        <v>0</v>
      </c>
      <c r="H115">
        <v>0</v>
      </c>
      <c r="I115">
        <v>13</v>
      </c>
      <c r="J115" t="s">
        <v>171</v>
      </c>
      <c r="K115">
        <v>20.866666666666671</v>
      </c>
      <c r="L115">
        <v>8</v>
      </c>
      <c r="M115">
        <v>3</v>
      </c>
      <c r="N115">
        <v>6</v>
      </c>
      <c r="O115">
        <v>50</v>
      </c>
      <c r="P115">
        <v>0</v>
      </c>
      <c r="Q115">
        <v>0</v>
      </c>
      <c r="R115">
        <v>0</v>
      </c>
      <c r="S115">
        <v>3</v>
      </c>
      <c r="T115">
        <v>6</v>
      </c>
      <c r="U115">
        <v>50</v>
      </c>
      <c r="V115">
        <v>2</v>
      </c>
      <c r="W115">
        <v>2</v>
      </c>
      <c r="X115">
        <v>100</v>
      </c>
      <c r="Y115">
        <v>0</v>
      </c>
      <c r="Z115">
        <v>4</v>
      </c>
      <c r="AA115">
        <v>4</v>
      </c>
      <c r="AB115">
        <v>0</v>
      </c>
      <c r="AC115">
        <v>0</v>
      </c>
      <c r="AD115">
        <v>1</v>
      </c>
      <c r="AE115">
        <v>1</v>
      </c>
      <c r="AF115">
        <v>0</v>
      </c>
      <c r="AG115">
        <v>0</v>
      </c>
      <c r="AH115">
        <v>3</v>
      </c>
      <c r="AI115">
        <v>1</v>
      </c>
      <c r="AJ115">
        <v>7</v>
      </c>
      <c r="AK115">
        <v>-12</v>
      </c>
      <c r="AL115">
        <v>7.88</v>
      </c>
      <c r="AM115">
        <v>0.37763578274760379</v>
      </c>
      <c r="AN115">
        <v>58.14</v>
      </c>
      <c r="AO115">
        <v>12.69</v>
      </c>
      <c r="AP115">
        <v>0.33333333333333331</v>
      </c>
      <c r="AQ115">
        <v>87.21</v>
      </c>
      <c r="AR115">
        <v>0</v>
      </c>
      <c r="AS115">
        <v>12.79</v>
      </c>
    </row>
    <row r="116" spans="1:45" x14ac:dyDescent="0.25">
      <c r="A116" t="s">
        <v>54</v>
      </c>
      <c r="B116">
        <v>3</v>
      </c>
      <c r="C116" t="s">
        <v>53</v>
      </c>
      <c r="D116" t="s">
        <v>59</v>
      </c>
      <c r="E116" t="s">
        <v>62</v>
      </c>
      <c r="F116" t="s">
        <v>65</v>
      </c>
      <c r="G116">
        <v>0</v>
      </c>
      <c r="H116">
        <v>1</v>
      </c>
      <c r="I116">
        <v>22</v>
      </c>
      <c r="J116" t="s">
        <v>172</v>
      </c>
      <c r="K116">
        <v>18.766666666666669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3</v>
      </c>
      <c r="R116">
        <v>0</v>
      </c>
      <c r="S116">
        <v>0</v>
      </c>
      <c r="T116">
        <v>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</v>
      </c>
      <c r="AA116">
        <v>3</v>
      </c>
      <c r="AB116">
        <v>2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4</v>
      </c>
      <c r="AI116">
        <v>1</v>
      </c>
      <c r="AJ116">
        <v>-2</v>
      </c>
      <c r="AK116">
        <v>-6</v>
      </c>
      <c r="AL116">
        <v>4</v>
      </c>
      <c r="AM116">
        <v>0.21314387211367669</v>
      </c>
      <c r="AN116">
        <v>0</v>
      </c>
      <c r="AO116">
        <v>0</v>
      </c>
      <c r="AP116">
        <v>0</v>
      </c>
      <c r="AQ116">
        <v>25</v>
      </c>
      <c r="AR116">
        <v>75</v>
      </c>
      <c r="AS116">
        <v>0</v>
      </c>
    </row>
    <row r="117" spans="1:45" x14ac:dyDescent="0.25">
      <c r="A117" t="s">
        <v>54</v>
      </c>
      <c r="B117">
        <v>3</v>
      </c>
      <c r="C117" t="s">
        <v>53</v>
      </c>
      <c r="D117" t="s">
        <v>59</v>
      </c>
      <c r="E117" t="s">
        <v>62</v>
      </c>
      <c r="F117" t="s">
        <v>65</v>
      </c>
      <c r="G117">
        <v>0</v>
      </c>
      <c r="H117">
        <v>0</v>
      </c>
      <c r="J117" t="s">
        <v>76</v>
      </c>
      <c r="K117">
        <v>200</v>
      </c>
      <c r="L117">
        <v>48</v>
      </c>
      <c r="M117">
        <v>14</v>
      </c>
      <c r="N117">
        <v>41</v>
      </c>
      <c r="O117">
        <v>34.1</v>
      </c>
      <c r="P117">
        <v>3</v>
      </c>
      <c r="Q117">
        <v>18</v>
      </c>
      <c r="R117">
        <v>16.7</v>
      </c>
      <c r="S117">
        <v>17</v>
      </c>
      <c r="T117">
        <v>59</v>
      </c>
      <c r="U117">
        <v>28.8</v>
      </c>
      <c r="V117">
        <v>11</v>
      </c>
      <c r="W117">
        <v>14</v>
      </c>
      <c r="X117">
        <v>78.599999999999994</v>
      </c>
      <c r="Y117">
        <v>7</v>
      </c>
      <c r="Z117">
        <v>21</v>
      </c>
      <c r="AA117">
        <v>28</v>
      </c>
      <c r="AB117">
        <v>14</v>
      </c>
      <c r="AC117">
        <v>9</v>
      </c>
      <c r="AD117">
        <v>14</v>
      </c>
      <c r="AE117">
        <v>1</v>
      </c>
      <c r="AF117">
        <v>3</v>
      </c>
      <c r="AG117">
        <v>0</v>
      </c>
      <c r="AH117">
        <v>19</v>
      </c>
      <c r="AI117">
        <v>17</v>
      </c>
      <c r="AJ117">
        <v>39</v>
      </c>
      <c r="AL117">
        <v>79.16</v>
      </c>
      <c r="AM117">
        <v>0.39579999999999999</v>
      </c>
      <c r="AN117">
        <v>36.83</v>
      </c>
      <c r="AO117">
        <v>17.690000000000001</v>
      </c>
      <c r="AP117">
        <v>0.1864406779661017</v>
      </c>
      <c r="AQ117">
        <v>62.92</v>
      </c>
      <c r="AR117">
        <v>27.62</v>
      </c>
      <c r="AS117">
        <v>9.4499999999999993</v>
      </c>
    </row>
    <row r="118" spans="1:45" x14ac:dyDescent="0.25">
      <c r="A118" t="s">
        <v>55</v>
      </c>
      <c r="B118">
        <v>3</v>
      </c>
      <c r="C118" t="s">
        <v>56</v>
      </c>
      <c r="D118" t="s">
        <v>59</v>
      </c>
      <c r="E118" t="s">
        <v>63</v>
      </c>
      <c r="F118" t="s">
        <v>64</v>
      </c>
      <c r="G118">
        <v>1</v>
      </c>
      <c r="H118">
        <v>0</v>
      </c>
      <c r="I118">
        <v>5</v>
      </c>
      <c r="J118" t="s">
        <v>173</v>
      </c>
      <c r="K118">
        <v>12.05</v>
      </c>
      <c r="L118">
        <v>11</v>
      </c>
      <c r="M118">
        <v>3</v>
      </c>
      <c r="N118">
        <v>3</v>
      </c>
      <c r="O118">
        <v>100</v>
      </c>
      <c r="P118">
        <v>1</v>
      </c>
      <c r="Q118">
        <v>2</v>
      </c>
      <c r="R118">
        <v>50</v>
      </c>
      <c r="S118">
        <v>4</v>
      </c>
      <c r="T118">
        <v>5</v>
      </c>
      <c r="U118">
        <v>80</v>
      </c>
      <c r="V118">
        <v>2</v>
      </c>
      <c r="W118">
        <v>2</v>
      </c>
      <c r="X118">
        <v>100</v>
      </c>
      <c r="Y118">
        <v>1</v>
      </c>
      <c r="Z118">
        <v>1</v>
      </c>
      <c r="AA118">
        <v>2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14</v>
      </c>
      <c r="AK118">
        <v>4</v>
      </c>
      <c r="AL118">
        <v>5.88</v>
      </c>
      <c r="AM118">
        <v>0.4879668049792531</v>
      </c>
      <c r="AN118">
        <v>93.54</v>
      </c>
      <c r="AO118">
        <v>0</v>
      </c>
      <c r="AP118">
        <v>0.4</v>
      </c>
      <c r="AQ118">
        <v>51.02</v>
      </c>
      <c r="AR118">
        <v>34.01</v>
      </c>
      <c r="AS118">
        <v>14.97</v>
      </c>
    </row>
    <row r="119" spans="1:45" x14ac:dyDescent="0.25">
      <c r="A119" t="s">
        <v>55</v>
      </c>
      <c r="B119">
        <v>3</v>
      </c>
      <c r="C119" t="s">
        <v>56</v>
      </c>
      <c r="D119" t="s">
        <v>59</v>
      </c>
      <c r="E119" t="s">
        <v>63</v>
      </c>
      <c r="F119" t="s">
        <v>64</v>
      </c>
      <c r="G119">
        <v>1</v>
      </c>
      <c r="H119">
        <v>1</v>
      </c>
      <c r="I119">
        <v>6</v>
      </c>
      <c r="J119" t="s">
        <v>174</v>
      </c>
      <c r="K119">
        <v>30.783333333333331</v>
      </c>
      <c r="L119">
        <v>11</v>
      </c>
      <c r="M119">
        <v>4</v>
      </c>
      <c r="N119">
        <v>13</v>
      </c>
      <c r="O119">
        <v>30.8</v>
      </c>
      <c r="P119">
        <v>0</v>
      </c>
      <c r="Q119">
        <v>0</v>
      </c>
      <c r="R119">
        <v>0</v>
      </c>
      <c r="S119">
        <v>4</v>
      </c>
      <c r="T119">
        <v>13</v>
      </c>
      <c r="U119">
        <v>30.8</v>
      </c>
      <c r="V119">
        <v>3</v>
      </c>
      <c r="W119">
        <v>5</v>
      </c>
      <c r="X119">
        <v>60</v>
      </c>
      <c r="Y119">
        <v>6</v>
      </c>
      <c r="Z119">
        <v>7</v>
      </c>
      <c r="AA119">
        <v>13</v>
      </c>
      <c r="AB119">
        <v>3</v>
      </c>
      <c r="AC119">
        <v>1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6</v>
      </c>
      <c r="AJ119">
        <v>16</v>
      </c>
      <c r="AK119">
        <v>9</v>
      </c>
      <c r="AL119">
        <v>21.2</v>
      </c>
      <c r="AM119">
        <v>0.68868435300487274</v>
      </c>
      <c r="AN119">
        <v>36.18</v>
      </c>
      <c r="AO119">
        <v>28.3</v>
      </c>
      <c r="AP119">
        <v>0.23076923076923081</v>
      </c>
      <c r="AQ119">
        <v>85.53</v>
      </c>
      <c r="AR119">
        <v>0</v>
      </c>
      <c r="AS119">
        <v>14.47</v>
      </c>
    </row>
    <row r="120" spans="1:45" x14ac:dyDescent="0.25">
      <c r="A120" t="s">
        <v>55</v>
      </c>
      <c r="B120">
        <v>3</v>
      </c>
      <c r="C120" t="s">
        <v>56</v>
      </c>
      <c r="D120" t="s">
        <v>59</v>
      </c>
      <c r="E120" t="s">
        <v>63</v>
      </c>
      <c r="F120" t="s">
        <v>64</v>
      </c>
      <c r="G120">
        <v>1</v>
      </c>
      <c r="H120">
        <v>1</v>
      </c>
      <c r="I120">
        <v>9</v>
      </c>
      <c r="J120" t="s">
        <v>175</v>
      </c>
      <c r="K120">
        <v>22.766666666666669</v>
      </c>
      <c r="L120">
        <v>4</v>
      </c>
      <c r="M120">
        <v>1</v>
      </c>
      <c r="N120">
        <v>5</v>
      </c>
      <c r="O120">
        <v>20</v>
      </c>
      <c r="P120">
        <v>0</v>
      </c>
      <c r="Q120">
        <v>1</v>
      </c>
      <c r="R120">
        <v>0</v>
      </c>
      <c r="S120">
        <v>1</v>
      </c>
      <c r="T120">
        <v>6</v>
      </c>
      <c r="U120">
        <v>16.7</v>
      </c>
      <c r="V120">
        <v>2</v>
      </c>
      <c r="W120">
        <v>4</v>
      </c>
      <c r="X120">
        <v>50</v>
      </c>
      <c r="Y120">
        <v>2</v>
      </c>
      <c r="Z120">
        <v>3</v>
      </c>
      <c r="AA120">
        <v>5</v>
      </c>
      <c r="AB120">
        <v>2</v>
      </c>
      <c r="AC120">
        <v>2</v>
      </c>
      <c r="AD120">
        <v>4</v>
      </c>
      <c r="AE120">
        <v>0</v>
      </c>
      <c r="AF120">
        <v>0</v>
      </c>
      <c r="AG120">
        <v>0</v>
      </c>
      <c r="AH120">
        <v>2</v>
      </c>
      <c r="AI120">
        <v>5</v>
      </c>
      <c r="AJ120">
        <v>5</v>
      </c>
      <c r="AK120">
        <v>6</v>
      </c>
      <c r="AL120">
        <v>11.76</v>
      </c>
      <c r="AM120">
        <v>0.51654465592972187</v>
      </c>
      <c r="AN120">
        <v>25.77</v>
      </c>
      <c r="AO120">
        <v>34.01</v>
      </c>
      <c r="AP120">
        <v>0.33333333333333331</v>
      </c>
      <c r="AQ120">
        <v>64.430000000000007</v>
      </c>
      <c r="AR120">
        <v>12.89</v>
      </c>
      <c r="AS120">
        <v>22.68</v>
      </c>
    </row>
    <row r="121" spans="1:45" x14ac:dyDescent="0.25">
      <c r="A121" t="s">
        <v>55</v>
      </c>
      <c r="B121">
        <v>3</v>
      </c>
      <c r="C121" t="s">
        <v>56</v>
      </c>
      <c r="D121" t="s">
        <v>59</v>
      </c>
      <c r="E121" t="s">
        <v>63</v>
      </c>
      <c r="F121" t="s">
        <v>64</v>
      </c>
      <c r="G121">
        <v>1</v>
      </c>
      <c r="H121">
        <v>1</v>
      </c>
      <c r="I121">
        <v>11</v>
      </c>
      <c r="J121" t="s">
        <v>176</v>
      </c>
      <c r="K121">
        <v>28.85</v>
      </c>
      <c r="L121">
        <v>2</v>
      </c>
      <c r="M121">
        <v>1</v>
      </c>
      <c r="N121">
        <v>1</v>
      </c>
      <c r="O121">
        <v>100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100</v>
      </c>
      <c r="V121">
        <v>0</v>
      </c>
      <c r="W121">
        <v>0</v>
      </c>
      <c r="X121">
        <v>0</v>
      </c>
      <c r="Y121">
        <v>0</v>
      </c>
      <c r="Z121">
        <v>10</v>
      </c>
      <c r="AA121">
        <v>10</v>
      </c>
      <c r="AB121">
        <v>6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2</v>
      </c>
      <c r="AI121">
        <v>0</v>
      </c>
      <c r="AJ121">
        <v>16</v>
      </c>
      <c r="AK121">
        <v>20</v>
      </c>
      <c r="AL121">
        <v>1</v>
      </c>
      <c r="AM121">
        <v>3.4662045060658578E-2</v>
      </c>
      <c r="AN121">
        <v>100</v>
      </c>
      <c r="AO121">
        <v>0</v>
      </c>
      <c r="AP121">
        <v>0</v>
      </c>
      <c r="AQ121">
        <v>100</v>
      </c>
      <c r="AR121">
        <v>0</v>
      </c>
      <c r="AS121">
        <v>0</v>
      </c>
    </row>
    <row r="122" spans="1:45" x14ac:dyDescent="0.25">
      <c r="A122" t="s">
        <v>55</v>
      </c>
      <c r="B122">
        <v>3</v>
      </c>
      <c r="C122" t="s">
        <v>56</v>
      </c>
      <c r="D122" t="s">
        <v>59</v>
      </c>
      <c r="E122" t="s">
        <v>63</v>
      </c>
      <c r="F122" t="s">
        <v>64</v>
      </c>
      <c r="G122">
        <v>1</v>
      </c>
      <c r="H122">
        <v>1</v>
      </c>
      <c r="I122">
        <v>12</v>
      </c>
      <c r="J122" t="s">
        <v>177</v>
      </c>
      <c r="K122">
        <v>26.333333333333329</v>
      </c>
      <c r="L122">
        <v>14</v>
      </c>
      <c r="M122">
        <v>3</v>
      </c>
      <c r="N122">
        <v>9</v>
      </c>
      <c r="O122">
        <v>33.299999999999997</v>
      </c>
      <c r="P122">
        <v>2</v>
      </c>
      <c r="Q122">
        <v>4</v>
      </c>
      <c r="R122">
        <v>50</v>
      </c>
      <c r="S122">
        <v>5</v>
      </c>
      <c r="T122">
        <v>13</v>
      </c>
      <c r="U122">
        <v>38.5</v>
      </c>
      <c r="V122">
        <v>2</v>
      </c>
      <c r="W122">
        <v>2</v>
      </c>
      <c r="X122">
        <v>100</v>
      </c>
      <c r="Y122">
        <v>2</v>
      </c>
      <c r="Z122">
        <v>5</v>
      </c>
      <c r="AA122">
        <v>7</v>
      </c>
      <c r="AB122">
        <v>2</v>
      </c>
      <c r="AC122">
        <v>0</v>
      </c>
      <c r="AD122">
        <v>2</v>
      </c>
      <c r="AE122">
        <v>0</v>
      </c>
      <c r="AF122">
        <v>0</v>
      </c>
      <c r="AG122">
        <v>0</v>
      </c>
      <c r="AH122">
        <v>3</v>
      </c>
      <c r="AI122">
        <v>2</v>
      </c>
      <c r="AJ122">
        <v>12</v>
      </c>
      <c r="AK122">
        <v>14</v>
      </c>
      <c r="AL122">
        <v>15.88</v>
      </c>
      <c r="AM122">
        <v>0.60303797468354436</v>
      </c>
      <c r="AN122">
        <v>50.43</v>
      </c>
      <c r="AO122">
        <v>12.59</v>
      </c>
      <c r="AP122">
        <v>0.15384615384615391</v>
      </c>
      <c r="AQ122">
        <v>64.84</v>
      </c>
      <c r="AR122">
        <v>28.82</v>
      </c>
      <c r="AS122">
        <v>6.34</v>
      </c>
    </row>
    <row r="123" spans="1:45" x14ac:dyDescent="0.25">
      <c r="A123" t="s">
        <v>55</v>
      </c>
      <c r="B123">
        <v>3</v>
      </c>
      <c r="C123" t="s">
        <v>56</v>
      </c>
      <c r="D123" t="s">
        <v>59</v>
      </c>
      <c r="E123" t="s">
        <v>63</v>
      </c>
      <c r="F123" t="s">
        <v>64</v>
      </c>
      <c r="G123">
        <v>1</v>
      </c>
      <c r="H123">
        <v>0</v>
      </c>
      <c r="I123">
        <v>15</v>
      </c>
      <c r="J123" t="s">
        <v>178</v>
      </c>
      <c r="K123">
        <v>25</v>
      </c>
      <c r="L123">
        <v>0</v>
      </c>
      <c r="M123">
        <v>0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</v>
      </c>
      <c r="U123">
        <v>0</v>
      </c>
      <c r="V123">
        <v>0</v>
      </c>
      <c r="W123">
        <v>0</v>
      </c>
      <c r="X123">
        <v>0</v>
      </c>
      <c r="Y123">
        <v>2</v>
      </c>
      <c r="Z123">
        <v>1</v>
      </c>
      <c r="AA123">
        <v>3</v>
      </c>
      <c r="AB123">
        <v>0</v>
      </c>
      <c r="AC123">
        <v>0</v>
      </c>
      <c r="AD123">
        <v>2</v>
      </c>
      <c r="AE123">
        <v>0</v>
      </c>
      <c r="AF123">
        <v>0</v>
      </c>
      <c r="AG123">
        <v>0</v>
      </c>
      <c r="AH123">
        <v>2</v>
      </c>
      <c r="AI123">
        <v>1</v>
      </c>
      <c r="AJ123">
        <v>-2</v>
      </c>
      <c r="AK123">
        <v>13</v>
      </c>
      <c r="AL123">
        <v>4</v>
      </c>
      <c r="AM123">
        <v>0.16</v>
      </c>
      <c r="AN123">
        <v>0</v>
      </c>
      <c r="AO123">
        <v>50</v>
      </c>
      <c r="AP123">
        <v>0</v>
      </c>
      <c r="AQ123">
        <v>100</v>
      </c>
      <c r="AR123">
        <v>0</v>
      </c>
      <c r="AS123">
        <v>0</v>
      </c>
    </row>
    <row r="124" spans="1:45" x14ac:dyDescent="0.25">
      <c r="A124" t="s">
        <v>55</v>
      </c>
      <c r="B124">
        <v>3</v>
      </c>
      <c r="C124" t="s">
        <v>56</v>
      </c>
      <c r="D124" t="s">
        <v>59</v>
      </c>
      <c r="E124" t="s">
        <v>63</v>
      </c>
      <c r="F124" t="s">
        <v>64</v>
      </c>
      <c r="G124">
        <v>1</v>
      </c>
      <c r="H124">
        <v>0</v>
      </c>
      <c r="I124">
        <v>23</v>
      </c>
      <c r="J124" t="s">
        <v>179</v>
      </c>
      <c r="K124">
        <v>21.633333333333329</v>
      </c>
      <c r="L124">
        <v>12</v>
      </c>
      <c r="M124">
        <v>3</v>
      </c>
      <c r="N124">
        <v>5</v>
      </c>
      <c r="O124">
        <v>60</v>
      </c>
      <c r="P124">
        <v>1</v>
      </c>
      <c r="Q124">
        <v>5</v>
      </c>
      <c r="R124">
        <v>20</v>
      </c>
      <c r="S124">
        <v>4</v>
      </c>
      <c r="T124">
        <v>10</v>
      </c>
      <c r="U124">
        <v>40</v>
      </c>
      <c r="V124">
        <v>3</v>
      </c>
      <c r="W124">
        <v>3</v>
      </c>
      <c r="X124">
        <v>100</v>
      </c>
      <c r="Y124">
        <v>0</v>
      </c>
      <c r="Z124">
        <v>2</v>
      </c>
      <c r="AA124">
        <v>2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4</v>
      </c>
      <c r="AJ124">
        <v>14</v>
      </c>
      <c r="AK124">
        <v>15</v>
      </c>
      <c r="AL124">
        <v>11.32</v>
      </c>
      <c r="AM124">
        <v>0.52326656394453008</v>
      </c>
      <c r="AN124">
        <v>53</v>
      </c>
      <c r="AO124">
        <v>0</v>
      </c>
      <c r="AP124">
        <v>0.3</v>
      </c>
      <c r="AQ124">
        <v>44.17</v>
      </c>
      <c r="AR124">
        <v>44.17</v>
      </c>
      <c r="AS124">
        <v>11.66</v>
      </c>
    </row>
    <row r="125" spans="1:45" x14ac:dyDescent="0.25">
      <c r="A125" t="s">
        <v>55</v>
      </c>
      <c r="B125">
        <v>3</v>
      </c>
      <c r="C125" t="s">
        <v>56</v>
      </c>
      <c r="D125" t="s">
        <v>59</v>
      </c>
      <c r="E125" t="s">
        <v>63</v>
      </c>
      <c r="F125" t="s">
        <v>64</v>
      </c>
      <c r="G125">
        <v>1</v>
      </c>
      <c r="H125">
        <v>1</v>
      </c>
      <c r="I125">
        <v>24</v>
      </c>
      <c r="J125" t="s">
        <v>180</v>
      </c>
      <c r="K125">
        <v>21.733333333333331</v>
      </c>
      <c r="L125">
        <v>23</v>
      </c>
      <c r="M125">
        <v>8</v>
      </c>
      <c r="N125">
        <v>8</v>
      </c>
      <c r="O125">
        <v>100</v>
      </c>
      <c r="P125">
        <v>2</v>
      </c>
      <c r="Q125">
        <v>3</v>
      </c>
      <c r="R125">
        <v>66.7</v>
      </c>
      <c r="S125">
        <v>10</v>
      </c>
      <c r="T125">
        <v>11</v>
      </c>
      <c r="U125">
        <v>90.9</v>
      </c>
      <c r="V125">
        <v>1</v>
      </c>
      <c r="W125">
        <v>2</v>
      </c>
      <c r="X125">
        <v>50</v>
      </c>
      <c r="Y125">
        <v>3</v>
      </c>
      <c r="Z125">
        <v>5</v>
      </c>
      <c r="AA125">
        <v>8</v>
      </c>
      <c r="AB125">
        <v>3</v>
      </c>
      <c r="AC125">
        <v>2</v>
      </c>
      <c r="AD125">
        <v>1</v>
      </c>
      <c r="AE125">
        <v>0</v>
      </c>
      <c r="AF125">
        <v>0</v>
      </c>
      <c r="AG125">
        <v>0</v>
      </c>
      <c r="AH125">
        <v>2</v>
      </c>
      <c r="AI125">
        <v>1</v>
      </c>
      <c r="AJ125">
        <v>32</v>
      </c>
      <c r="AK125">
        <v>20</v>
      </c>
      <c r="AL125">
        <v>12.88</v>
      </c>
      <c r="AM125">
        <v>0.59263803680981597</v>
      </c>
      <c r="AN125">
        <v>96.8</v>
      </c>
      <c r="AO125">
        <v>7.76</v>
      </c>
      <c r="AP125">
        <v>9.0909090909090912E-2</v>
      </c>
      <c r="AQ125">
        <v>67.34</v>
      </c>
      <c r="AR125">
        <v>25.25</v>
      </c>
      <c r="AS125">
        <v>7.41</v>
      </c>
    </row>
    <row r="126" spans="1:45" x14ac:dyDescent="0.25">
      <c r="A126" t="s">
        <v>55</v>
      </c>
      <c r="B126">
        <v>3</v>
      </c>
      <c r="C126" t="s">
        <v>56</v>
      </c>
      <c r="D126" t="s">
        <v>59</v>
      </c>
      <c r="E126" t="s">
        <v>63</v>
      </c>
      <c r="F126" t="s">
        <v>64</v>
      </c>
      <c r="G126">
        <v>1</v>
      </c>
      <c r="H126">
        <v>0</v>
      </c>
      <c r="I126">
        <v>60</v>
      </c>
      <c r="J126" t="s">
        <v>181</v>
      </c>
      <c r="K126">
        <v>4.3166666666666664</v>
      </c>
      <c r="L126">
        <v>3</v>
      </c>
      <c r="M126">
        <v>0</v>
      </c>
      <c r="N126">
        <v>0</v>
      </c>
      <c r="O126">
        <v>0</v>
      </c>
      <c r="P126">
        <v>1</v>
      </c>
      <c r="Q126">
        <v>2</v>
      </c>
      <c r="R126">
        <v>50</v>
      </c>
      <c r="S126">
        <v>1</v>
      </c>
      <c r="T126">
        <v>2</v>
      </c>
      <c r="U126">
        <v>50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</v>
      </c>
      <c r="AK126">
        <v>-1</v>
      </c>
      <c r="AL126">
        <v>2</v>
      </c>
      <c r="AM126">
        <v>0.46332046332046328</v>
      </c>
      <c r="AN126">
        <v>75</v>
      </c>
      <c r="AO126">
        <v>0</v>
      </c>
      <c r="AP126">
        <v>0</v>
      </c>
      <c r="AQ126">
        <v>0</v>
      </c>
      <c r="AR126">
        <v>100</v>
      </c>
      <c r="AS126">
        <v>0</v>
      </c>
    </row>
    <row r="127" spans="1:45" x14ac:dyDescent="0.25">
      <c r="A127" t="s">
        <v>55</v>
      </c>
      <c r="B127">
        <v>3</v>
      </c>
      <c r="C127" t="s">
        <v>56</v>
      </c>
      <c r="D127" t="s">
        <v>59</v>
      </c>
      <c r="E127" t="s">
        <v>63</v>
      </c>
      <c r="F127" t="s">
        <v>64</v>
      </c>
      <c r="G127">
        <v>1</v>
      </c>
      <c r="H127">
        <v>0</v>
      </c>
      <c r="I127">
        <v>62</v>
      </c>
      <c r="J127" t="s">
        <v>182</v>
      </c>
      <c r="K127">
        <v>3.1833333333333331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0</v>
      </c>
      <c r="S127">
        <v>0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-2</v>
      </c>
      <c r="AK127">
        <v>-7</v>
      </c>
      <c r="AL127">
        <v>2</v>
      </c>
      <c r="AM127">
        <v>0.62827225130890052</v>
      </c>
      <c r="AN127">
        <v>0</v>
      </c>
      <c r="AO127">
        <v>0</v>
      </c>
      <c r="AP127">
        <v>0</v>
      </c>
      <c r="AQ127">
        <v>0</v>
      </c>
      <c r="AR127">
        <v>100</v>
      </c>
      <c r="AS127">
        <v>0</v>
      </c>
    </row>
    <row r="128" spans="1:45" x14ac:dyDescent="0.25">
      <c r="A128" t="s">
        <v>55</v>
      </c>
      <c r="B128">
        <v>3</v>
      </c>
      <c r="C128" t="s">
        <v>56</v>
      </c>
      <c r="D128" t="s">
        <v>59</v>
      </c>
      <c r="E128" t="s">
        <v>63</v>
      </c>
      <c r="F128" t="s">
        <v>64</v>
      </c>
      <c r="G128">
        <v>1</v>
      </c>
      <c r="H128">
        <v>0</v>
      </c>
      <c r="I128">
        <v>68</v>
      </c>
      <c r="J128" t="s">
        <v>183</v>
      </c>
      <c r="K128">
        <v>3.35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-2</v>
      </c>
      <c r="AK128">
        <v>2</v>
      </c>
      <c r="AL128">
        <v>1</v>
      </c>
      <c r="AM128">
        <v>0.29850746268656708</v>
      </c>
      <c r="AN128">
        <v>0</v>
      </c>
      <c r="AO128">
        <v>0</v>
      </c>
      <c r="AP128">
        <v>0</v>
      </c>
      <c r="AQ128">
        <v>0</v>
      </c>
      <c r="AR128">
        <v>100</v>
      </c>
      <c r="AS128">
        <v>0</v>
      </c>
    </row>
    <row r="129" spans="1:45" x14ac:dyDescent="0.25">
      <c r="A129" t="s">
        <v>55</v>
      </c>
      <c r="B129">
        <v>3</v>
      </c>
      <c r="C129" t="s">
        <v>56</v>
      </c>
      <c r="D129" t="s">
        <v>59</v>
      </c>
      <c r="E129" t="s">
        <v>63</v>
      </c>
      <c r="F129" t="s">
        <v>64</v>
      </c>
      <c r="G129">
        <v>1</v>
      </c>
      <c r="H129">
        <v>0</v>
      </c>
      <c r="J129" t="s">
        <v>76</v>
      </c>
      <c r="K129">
        <v>200</v>
      </c>
      <c r="L129">
        <v>80</v>
      </c>
      <c r="M129">
        <v>23</v>
      </c>
      <c r="N129">
        <v>46</v>
      </c>
      <c r="O129">
        <v>50</v>
      </c>
      <c r="P129">
        <v>7</v>
      </c>
      <c r="Q129">
        <v>20</v>
      </c>
      <c r="R129">
        <v>35</v>
      </c>
      <c r="S129">
        <v>30</v>
      </c>
      <c r="T129">
        <v>66</v>
      </c>
      <c r="U129">
        <v>45.5</v>
      </c>
      <c r="V129">
        <v>13</v>
      </c>
      <c r="W129">
        <v>18</v>
      </c>
      <c r="X129">
        <v>72.2</v>
      </c>
      <c r="Y129">
        <v>17</v>
      </c>
      <c r="Z129">
        <v>35</v>
      </c>
      <c r="AA129">
        <v>52</v>
      </c>
      <c r="AB129">
        <v>17</v>
      </c>
      <c r="AC129">
        <v>8</v>
      </c>
      <c r="AD129">
        <v>15</v>
      </c>
      <c r="AE129">
        <v>0</v>
      </c>
      <c r="AF129">
        <v>0</v>
      </c>
      <c r="AG129">
        <v>0</v>
      </c>
      <c r="AH129">
        <v>14</v>
      </c>
      <c r="AI129">
        <v>20</v>
      </c>
      <c r="AJ129">
        <v>107</v>
      </c>
      <c r="AL129">
        <v>88.92</v>
      </c>
      <c r="AM129">
        <v>0.4446</v>
      </c>
      <c r="AN129">
        <v>54.11</v>
      </c>
      <c r="AO129">
        <v>16.87</v>
      </c>
      <c r="AP129">
        <v>0.19696969696969699</v>
      </c>
      <c r="AQ129">
        <v>62.23</v>
      </c>
      <c r="AR129">
        <v>27.06</v>
      </c>
      <c r="AS129">
        <v>10.71</v>
      </c>
    </row>
    <row r="130" spans="1:45" x14ac:dyDescent="0.25">
      <c r="A130" t="s">
        <v>56</v>
      </c>
      <c r="B130">
        <v>3</v>
      </c>
      <c r="C130" t="s">
        <v>55</v>
      </c>
      <c r="D130" t="s">
        <v>59</v>
      </c>
      <c r="E130" t="s">
        <v>63</v>
      </c>
      <c r="F130" t="s">
        <v>65</v>
      </c>
      <c r="G130">
        <v>0</v>
      </c>
      <c r="H130">
        <v>1</v>
      </c>
      <c r="I130">
        <v>4</v>
      </c>
      <c r="J130" t="s">
        <v>184</v>
      </c>
      <c r="K130">
        <v>20.733333333333331</v>
      </c>
      <c r="L130">
        <v>5</v>
      </c>
      <c r="M130">
        <v>2</v>
      </c>
      <c r="N130">
        <v>3</v>
      </c>
      <c r="O130">
        <v>66.7</v>
      </c>
      <c r="P130">
        <v>0</v>
      </c>
      <c r="Q130">
        <v>4</v>
      </c>
      <c r="R130">
        <v>0</v>
      </c>
      <c r="S130">
        <v>2</v>
      </c>
      <c r="T130">
        <v>7</v>
      </c>
      <c r="U130">
        <v>28.6</v>
      </c>
      <c r="V130">
        <v>1</v>
      </c>
      <c r="W130">
        <v>2</v>
      </c>
      <c r="X130">
        <v>50</v>
      </c>
      <c r="Y130">
        <v>2</v>
      </c>
      <c r="Z130">
        <v>2</v>
      </c>
      <c r="AA130">
        <v>4</v>
      </c>
      <c r="AB130">
        <v>1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3</v>
      </c>
      <c r="AI130">
        <v>1</v>
      </c>
      <c r="AJ130">
        <v>1</v>
      </c>
      <c r="AK130">
        <v>-16</v>
      </c>
      <c r="AL130">
        <v>8.879999999999999</v>
      </c>
      <c r="AM130">
        <v>0.42829581993569132</v>
      </c>
      <c r="AN130">
        <v>31.73</v>
      </c>
      <c r="AO130">
        <v>11.26</v>
      </c>
      <c r="AP130">
        <v>0.14285714285714279</v>
      </c>
      <c r="AQ130">
        <v>38.07</v>
      </c>
      <c r="AR130">
        <v>50.76</v>
      </c>
      <c r="AS130">
        <v>11.17</v>
      </c>
    </row>
    <row r="131" spans="1:45" x14ac:dyDescent="0.25">
      <c r="A131" t="s">
        <v>56</v>
      </c>
      <c r="B131">
        <v>3</v>
      </c>
      <c r="C131" t="s">
        <v>55</v>
      </c>
      <c r="D131" t="s">
        <v>59</v>
      </c>
      <c r="E131" t="s">
        <v>63</v>
      </c>
      <c r="F131" t="s">
        <v>65</v>
      </c>
      <c r="G131">
        <v>0</v>
      </c>
      <c r="H131">
        <v>0</v>
      </c>
      <c r="I131">
        <v>5</v>
      </c>
      <c r="J131" t="s">
        <v>185</v>
      </c>
      <c r="K131">
        <v>4.9666666666666668</v>
      </c>
      <c r="L131">
        <v>5</v>
      </c>
      <c r="M131">
        <v>1</v>
      </c>
      <c r="N131">
        <v>2</v>
      </c>
      <c r="O131">
        <v>50</v>
      </c>
      <c r="P131">
        <v>1</v>
      </c>
      <c r="Q131">
        <v>1</v>
      </c>
      <c r="R131">
        <v>100</v>
      </c>
      <c r="S131">
        <v>2</v>
      </c>
      <c r="T131">
        <v>3</v>
      </c>
      <c r="U131">
        <v>66.7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0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6</v>
      </c>
      <c r="AK131">
        <v>-5</v>
      </c>
      <c r="AL131">
        <v>4</v>
      </c>
      <c r="AM131">
        <v>0.80536912751677847</v>
      </c>
      <c r="AN131">
        <v>83.33</v>
      </c>
      <c r="AO131">
        <v>25</v>
      </c>
      <c r="AP131">
        <v>0</v>
      </c>
      <c r="AQ131">
        <v>66.67</v>
      </c>
      <c r="AR131">
        <v>33.33</v>
      </c>
      <c r="AS131">
        <v>0</v>
      </c>
    </row>
    <row r="132" spans="1:45" x14ac:dyDescent="0.25">
      <c r="A132" t="s">
        <v>56</v>
      </c>
      <c r="B132">
        <v>3</v>
      </c>
      <c r="C132" t="s">
        <v>55</v>
      </c>
      <c r="D132" t="s">
        <v>59</v>
      </c>
      <c r="E132" t="s">
        <v>63</v>
      </c>
      <c r="F132" t="s">
        <v>65</v>
      </c>
      <c r="G132">
        <v>0</v>
      </c>
      <c r="H132">
        <v>0</v>
      </c>
      <c r="I132">
        <v>6</v>
      </c>
      <c r="J132" t="s">
        <v>186</v>
      </c>
      <c r="K132">
        <v>29.583333333333329</v>
      </c>
      <c r="L132">
        <v>13</v>
      </c>
      <c r="M132">
        <v>0</v>
      </c>
      <c r="N132">
        <v>2</v>
      </c>
      <c r="O132">
        <v>0</v>
      </c>
      <c r="P132">
        <v>4</v>
      </c>
      <c r="Q132">
        <v>9</v>
      </c>
      <c r="R132">
        <v>44.4</v>
      </c>
      <c r="S132">
        <v>4</v>
      </c>
      <c r="T132">
        <v>11</v>
      </c>
      <c r="U132">
        <v>36.4</v>
      </c>
      <c r="V132">
        <v>1</v>
      </c>
      <c r="W132">
        <v>2</v>
      </c>
      <c r="X132">
        <v>50</v>
      </c>
      <c r="Y132">
        <v>3</v>
      </c>
      <c r="Z132">
        <v>4</v>
      </c>
      <c r="AA132">
        <v>7</v>
      </c>
      <c r="AB132">
        <v>4</v>
      </c>
      <c r="AC132">
        <v>0</v>
      </c>
      <c r="AD132">
        <v>4</v>
      </c>
      <c r="AE132">
        <v>0</v>
      </c>
      <c r="AF132">
        <v>0</v>
      </c>
      <c r="AG132">
        <v>0</v>
      </c>
      <c r="AH132">
        <v>3</v>
      </c>
      <c r="AI132">
        <v>5</v>
      </c>
      <c r="AJ132">
        <v>14</v>
      </c>
      <c r="AK132">
        <v>-11</v>
      </c>
      <c r="AL132">
        <v>15.88</v>
      </c>
      <c r="AM132">
        <v>0.5367887323943662</v>
      </c>
      <c r="AN132">
        <v>54.71</v>
      </c>
      <c r="AO132">
        <v>25.19</v>
      </c>
      <c r="AP132">
        <v>9.0909090909090912E-2</v>
      </c>
      <c r="AQ132">
        <v>16.84</v>
      </c>
      <c r="AR132">
        <v>75.760000000000005</v>
      </c>
      <c r="AS132">
        <v>7.41</v>
      </c>
    </row>
    <row r="133" spans="1:45" x14ac:dyDescent="0.25">
      <c r="A133" t="s">
        <v>56</v>
      </c>
      <c r="B133">
        <v>3</v>
      </c>
      <c r="C133" t="s">
        <v>55</v>
      </c>
      <c r="D133" t="s">
        <v>59</v>
      </c>
      <c r="E133" t="s">
        <v>63</v>
      </c>
      <c r="F133" t="s">
        <v>65</v>
      </c>
      <c r="G133">
        <v>0</v>
      </c>
      <c r="H133">
        <v>1</v>
      </c>
      <c r="I133">
        <v>7</v>
      </c>
      <c r="J133" t="s">
        <v>187</v>
      </c>
      <c r="K133">
        <v>22.56666666666667</v>
      </c>
      <c r="L133">
        <v>5</v>
      </c>
      <c r="M133">
        <v>2</v>
      </c>
      <c r="N133">
        <v>5</v>
      </c>
      <c r="O133">
        <v>40</v>
      </c>
      <c r="P133">
        <v>0</v>
      </c>
      <c r="Q133">
        <v>3</v>
      </c>
      <c r="R133">
        <v>0</v>
      </c>
      <c r="S133">
        <v>2</v>
      </c>
      <c r="T133">
        <v>8</v>
      </c>
      <c r="U133">
        <v>25</v>
      </c>
      <c r="V133">
        <v>1</v>
      </c>
      <c r="W133">
        <v>2</v>
      </c>
      <c r="X133">
        <v>50</v>
      </c>
      <c r="Y133">
        <v>1</v>
      </c>
      <c r="Z133">
        <v>4</v>
      </c>
      <c r="AA133">
        <v>5</v>
      </c>
      <c r="AB133">
        <v>1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5</v>
      </c>
      <c r="AI133">
        <v>1</v>
      </c>
      <c r="AJ133">
        <v>-1</v>
      </c>
      <c r="AK133">
        <v>-14</v>
      </c>
      <c r="AL133">
        <v>9.8800000000000008</v>
      </c>
      <c r="AM133">
        <v>0.43781388478581978</v>
      </c>
      <c r="AN133">
        <v>28.15</v>
      </c>
      <c r="AO133">
        <v>10.119999999999999</v>
      </c>
      <c r="AP133">
        <v>0.125</v>
      </c>
      <c r="AQ133">
        <v>56.31</v>
      </c>
      <c r="AR133">
        <v>33.78</v>
      </c>
      <c r="AS133">
        <v>9.91</v>
      </c>
    </row>
    <row r="134" spans="1:45" x14ac:dyDescent="0.25">
      <c r="A134" t="s">
        <v>56</v>
      </c>
      <c r="B134">
        <v>3</v>
      </c>
      <c r="C134" t="s">
        <v>55</v>
      </c>
      <c r="D134" t="s">
        <v>59</v>
      </c>
      <c r="E134" t="s">
        <v>63</v>
      </c>
      <c r="F134" t="s">
        <v>65</v>
      </c>
      <c r="G134">
        <v>0</v>
      </c>
      <c r="H134">
        <v>1</v>
      </c>
      <c r="I134">
        <v>8</v>
      </c>
      <c r="J134" t="s">
        <v>188</v>
      </c>
      <c r="K134">
        <v>28.133333333333329</v>
      </c>
      <c r="L134">
        <v>13</v>
      </c>
      <c r="M134">
        <v>2</v>
      </c>
      <c r="N134">
        <v>4</v>
      </c>
      <c r="O134">
        <v>50</v>
      </c>
      <c r="P134">
        <v>3</v>
      </c>
      <c r="Q134">
        <v>6</v>
      </c>
      <c r="R134">
        <v>50</v>
      </c>
      <c r="S134">
        <v>5</v>
      </c>
      <c r="T134">
        <v>10</v>
      </c>
      <c r="U134">
        <v>50</v>
      </c>
      <c r="V134">
        <v>0</v>
      </c>
      <c r="W134">
        <v>0</v>
      </c>
      <c r="X134">
        <v>0</v>
      </c>
      <c r="Y134">
        <v>3</v>
      </c>
      <c r="Z134">
        <v>3</v>
      </c>
      <c r="AA134">
        <v>6</v>
      </c>
      <c r="AB134">
        <v>2</v>
      </c>
      <c r="AC134">
        <v>3</v>
      </c>
      <c r="AD134">
        <v>1</v>
      </c>
      <c r="AE134">
        <v>0</v>
      </c>
      <c r="AF134">
        <v>0</v>
      </c>
      <c r="AG134">
        <v>0</v>
      </c>
      <c r="AH134">
        <v>2</v>
      </c>
      <c r="AI134">
        <v>1</v>
      </c>
      <c r="AJ134">
        <v>17</v>
      </c>
      <c r="AK134">
        <v>-11</v>
      </c>
      <c r="AL134">
        <v>11</v>
      </c>
      <c r="AM134">
        <v>0.39099526066350709</v>
      </c>
      <c r="AN134">
        <v>65</v>
      </c>
      <c r="AO134">
        <v>9.09</v>
      </c>
      <c r="AP134">
        <v>0</v>
      </c>
      <c r="AQ134">
        <v>40</v>
      </c>
      <c r="AR134">
        <v>60</v>
      </c>
      <c r="AS134">
        <v>0</v>
      </c>
    </row>
    <row r="135" spans="1:45" x14ac:dyDescent="0.25">
      <c r="A135" t="s">
        <v>56</v>
      </c>
      <c r="B135">
        <v>3</v>
      </c>
      <c r="C135" t="s">
        <v>55</v>
      </c>
      <c r="D135" t="s">
        <v>59</v>
      </c>
      <c r="E135" t="s">
        <v>63</v>
      </c>
      <c r="F135" t="s">
        <v>65</v>
      </c>
      <c r="G135">
        <v>0</v>
      </c>
      <c r="H135">
        <v>1</v>
      </c>
      <c r="I135">
        <v>10</v>
      </c>
      <c r="J135" t="s">
        <v>189</v>
      </c>
      <c r="K135">
        <v>26.35</v>
      </c>
      <c r="L135">
        <v>9</v>
      </c>
      <c r="M135">
        <v>0</v>
      </c>
      <c r="N135">
        <v>3</v>
      </c>
      <c r="O135">
        <v>0</v>
      </c>
      <c r="P135">
        <v>3</v>
      </c>
      <c r="Q135">
        <v>8</v>
      </c>
      <c r="R135">
        <v>37.5</v>
      </c>
      <c r="S135">
        <v>3</v>
      </c>
      <c r="T135">
        <v>11</v>
      </c>
      <c r="U135">
        <v>27.3</v>
      </c>
      <c r="V135">
        <v>0</v>
      </c>
      <c r="W135">
        <v>2</v>
      </c>
      <c r="X135">
        <v>0</v>
      </c>
      <c r="Y135">
        <v>0</v>
      </c>
      <c r="Z135">
        <v>1</v>
      </c>
      <c r="AA135">
        <v>1</v>
      </c>
      <c r="AB135">
        <v>1</v>
      </c>
      <c r="AC135">
        <v>1</v>
      </c>
      <c r="AD135">
        <v>3</v>
      </c>
      <c r="AE135">
        <v>0</v>
      </c>
      <c r="AF135">
        <v>0</v>
      </c>
      <c r="AG135">
        <v>0</v>
      </c>
      <c r="AH135">
        <v>2</v>
      </c>
      <c r="AI135">
        <v>2</v>
      </c>
      <c r="AJ135">
        <v>-1</v>
      </c>
      <c r="AK135">
        <v>-26</v>
      </c>
      <c r="AL135">
        <v>14.88</v>
      </c>
      <c r="AM135">
        <v>0.56470588235294117</v>
      </c>
      <c r="AN135">
        <v>37.880000000000003</v>
      </c>
      <c r="AO135">
        <v>20.16</v>
      </c>
      <c r="AP135">
        <v>0</v>
      </c>
      <c r="AQ135">
        <v>25.25</v>
      </c>
      <c r="AR135">
        <v>67.34</v>
      </c>
      <c r="AS135">
        <v>7.41</v>
      </c>
    </row>
    <row r="136" spans="1:45" x14ac:dyDescent="0.25">
      <c r="A136" t="s">
        <v>56</v>
      </c>
      <c r="B136">
        <v>3</v>
      </c>
      <c r="C136" t="s">
        <v>55</v>
      </c>
      <c r="D136" t="s">
        <v>59</v>
      </c>
      <c r="E136" t="s">
        <v>63</v>
      </c>
      <c r="F136" t="s">
        <v>65</v>
      </c>
      <c r="G136">
        <v>0</v>
      </c>
      <c r="H136">
        <v>1</v>
      </c>
      <c r="I136">
        <v>11</v>
      </c>
      <c r="J136" t="s">
        <v>190</v>
      </c>
      <c r="K136">
        <v>27.616666666666671</v>
      </c>
      <c r="L136">
        <v>4</v>
      </c>
      <c r="M136">
        <v>0</v>
      </c>
      <c r="N136">
        <v>5</v>
      </c>
      <c r="O136">
        <v>0</v>
      </c>
      <c r="P136">
        <v>1</v>
      </c>
      <c r="Q136">
        <v>4</v>
      </c>
      <c r="R136">
        <v>25</v>
      </c>
      <c r="S136">
        <v>1</v>
      </c>
      <c r="T136">
        <v>9</v>
      </c>
      <c r="U136">
        <v>11.1</v>
      </c>
      <c r="V136">
        <v>1</v>
      </c>
      <c r="W136">
        <v>2</v>
      </c>
      <c r="X136">
        <v>50</v>
      </c>
      <c r="Y136">
        <v>0</v>
      </c>
      <c r="Z136">
        <v>0</v>
      </c>
      <c r="AA136">
        <v>0</v>
      </c>
      <c r="AB136">
        <v>3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1</v>
      </c>
      <c r="AI136">
        <v>3</v>
      </c>
      <c r="AJ136">
        <v>-1</v>
      </c>
      <c r="AK136">
        <v>-16</v>
      </c>
      <c r="AL136">
        <v>10.88</v>
      </c>
      <c r="AM136">
        <v>0.39396499698249848</v>
      </c>
      <c r="AN136">
        <v>20.239999999999998</v>
      </c>
      <c r="AO136">
        <v>9.19</v>
      </c>
      <c r="AP136">
        <v>0.1111111111111111</v>
      </c>
      <c r="AQ136">
        <v>50.61</v>
      </c>
      <c r="AR136">
        <v>40.49</v>
      </c>
      <c r="AS136">
        <v>8.91</v>
      </c>
    </row>
    <row r="137" spans="1:45" x14ac:dyDescent="0.25">
      <c r="A137" t="s">
        <v>56</v>
      </c>
      <c r="B137">
        <v>3</v>
      </c>
      <c r="C137" t="s">
        <v>55</v>
      </c>
      <c r="D137" t="s">
        <v>59</v>
      </c>
      <c r="E137" t="s">
        <v>63</v>
      </c>
      <c r="F137" t="s">
        <v>65</v>
      </c>
      <c r="G137">
        <v>0</v>
      </c>
      <c r="H137">
        <v>0</v>
      </c>
      <c r="I137">
        <v>13</v>
      </c>
      <c r="J137" t="s">
        <v>191</v>
      </c>
      <c r="K137">
        <v>14.95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</v>
      </c>
      <c r="Z137">
        <v>3</v>
      </c>
      <c r="AA137">
        <v>5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2</v>
      </c>
      <c r="AI137">
        <v>0</v>
      </c>
      <c r="AJ137">
        <v>4</v>
      </c>
      <c r="AK137">
        <v>-1</v>
      </c>
      <c r="AL137">
        <v>0</v>
      </c>
      <c r="AM137">
        <v>0</v>
      </c>
      <c r="AQ137">
        <v>0</v>
      </c>
      <c r="AR137">
        <v>0</v>
      </c>
      <c r="AS137">
        <v>0</v>
      </c>
    </row>
    <row r="138" spans="1:45" x14ac:dyDescent="0.25">
      <c r="A138" t="s">
        <v>56</v>
      </c>
      <c r="B138">
        <v>3</v>
      </c>
      <c r="C138" t="s">
        <v>55</v>
      </c>
      <c r="D138" t="s">
        <v>59</v>
      </c>
      <c r="E138" t="s">
        <v>63</v>
      </c>
      <c r="F138" t="s">
        <v>65</v>
      </c>
      <c r="G138">
        <v>0</v>
      </c>
      <c r="H138">
        <v>0</v>
      </c>
      <c r="I138">
        <v>19</v>
      </c>
      <c r="J138" t="s">
        <v>192</v>
      </c>
      <c r="K138">
        <v>10.016666666666669</v>
      </c>
      <c r="L138">
        <v>2</v>
      </c>
      <c r="M138">
        <v>1</v>
      </c>
      <c r="N138">
        <v>1</v>
      </c>
      <c r="O138">
        <v>100</v>
      </c>
      <c r="P138">
        <v>0</v>
      </c>
      <c r="Q138">
        <v>1</v>
      </c>
      <c r="R138">
        <v>0</v>
      </c>
      <c r="S138">
        <v>1</v>
      </c>
      <c r="T138">
        <v>2</v>
      </c>
      <c r="U138">
        <v>50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</v>
      </c>
      <c r="AK138">
        <v>8</v>
      </c>
      <c r="AL138">
        <v>2</v>
      </c>
      <c r="AM138">
        <v>0.1996672212978369</v>
      </c>
      <c r="AN138">
        <v>50</v>
      </c>
      <c r="AO138">
        <v>0</v>
      </c>
      <c r="AP138">
        <v>0</v>
      </c>
      <c r="AQ138">
        <v>50</v>
      </c>
      <c r="AR138">
        <v>50</v>
      </c>
      <c r="AS138">
        <v>0</v>
      </c>
    </row>
    <row r="139" spans="1:45" x14ac:dyDescent="0.25">
      <c r="A139" t="s">
        <v>56</v>
      </c>
      <c r="B139">
        <v>3</v>
      </c>
      <c r="C139" t="s">
        <v>55</v>
      </c>
      <c r="D139" t="s">
        <v>59</v>
      </c>
      <c r="E139" t="s">
        <v>63</v>
      </c>
      <c r="F139" t="s">
        <v>65</v>
      </c>
      <c r="G139">
        <v>0</v>
      </c>
      <c r="H139">
        <v>0</v>
      </c>
      <c r="I139">
        <v>21</v>
      </c>
      <c r="J139" t="s">
        <v>193</v>
      </c>
      <c r="K139">
        <v>15.08333333333333</v>
      </c>
      <c r="L139">
        <v>5</v>
      </c>
      <c r="M139">
        <v>1</v>
      </c>
      <c r="N139">
        <v>3</v>
      </c>
      <c r="O139">
        <v>33.299999999999997</v>
      </c>
      <c r="P139">
        <v>1</v>
      </c>
      <c r="Q139">
        <v>2</v>
      </c>
      <c r="R139">
        <v>50</v>
      </c>
      <c r="S139">
        <v>2</v>
      </c>
      <c r="T139">
        <v>5</v>
      </c>
      <c r="U139">
        <v>40</v>
      </c>
      <c r="V139">
        <v>0</v>
      </c>
      <c r="W139">
        <v>0</v>
      </c>
      <c r="X139">
        <v>0</v>
      </c>
      <c r="Y139">
        <v>0</v>
      </c>
      <c r="Z139">
        <v>3</v>
      </c>
      <c r="AA139">
        <v>3</v>
      </c>
      <c r="AB139">
        <v>2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6</v>
      </c>
      <c r="AK139">
        <v>-3</v>
      </c>
      <c r="AL139">
        <v>5</v>
      </c>
      <c r="AM139">
        <v>0.33149171270718231</v>
      </c>
      <c r="AN139">
        <v>50</v>
      </c>
      <c r="AO139">
        <v>0</v>
      </c>
      <c r="AP139">
        <v>0</v>
      </c>
      <c r="AQ139">
        <v>60</v>
      </c>
      <c r="AR139">
        <v>40</v>
      </c>
      <c r="AS139">
        <v>0</v>
      </c>
    </row>
    <row r="140" spans="1:45" x14ac:dyDescent="0.25">
      <c r="A140" t="s">
        <v>56</v>
      </c>
      <c r="B140">
        <v>3</v>
      </c>
      <c r="C140" t="s">
        <v>55</v>
      </c>
      <c r="D140" t="s">
        <v>59</v>
      </c>
      <c r="E140" t="s">
        <v>63</v>
      </c>
      <c r="F140" t="s">
        <v>65</v>
      </c>
      <c r="G140">
        <v>0</v>
      </c>
      <c r="H140">
        <v>0</v>
      </c>
      <c r="J140" t="s">
        <v>76</v>
      </c>
      <c r="K140">
        <v>200</v>
      </c>
      <c r="L140">
        <v>61</v>
      </c>
      <c r="M140">
        <v>9</v>
      </c>
      <c r="N140">
        <v>28</v>
      </c>
      <c r="O140">
        <v>32.1</v>
      </c>
      <c r="P140">
        <v>13</v>
      </c>
      <c r="Q140">
        <v>38</v>
      </c>
      <c r="R140">
        <v>34.200000000000003</v>
      </c>
      <c r="S140">
        <v>22</v>
      </c>
      <c r="T140">
        <v>66</v>
      </c>
      <c r="U140">
        <v>33.299999999999997</v>
      </c>
      <c r="V140">
        <v>4</v>
      </c>
      <c r="W140">
        <v>10</v>
      </c>
      <c r="X140">
        <v>40</v>
      </c>
      <c r="Y140">
        <v>11</v>
      </c>
      <c r="Z140">
        <v>21</v>
      </c>
      <c r="AA140">
        <v>32</v>
      </c>
      <c r="AB140">
        <v>15</v>
      </c>
      <c r="AC140">
        <v>7</v>
      </c>
      <c r="AD140">
        <v>12</v>
      </c>
      <c r="AE140">
        <v>0</v>
      </c>
      <c r="AF140">
        <v>0</v>
      </c>
      <c r="AG140">
        <v>0</v>
      </c>
      <c r="AH140">
        <v>20</v>
      </c>
      <c r="AI140">
        <v>14</v>
      </c>
      <c r="AJ140">
        <v>47</v>
      </c>
      <c r="AL140">
        <v>82.4</v>
      </c>
      <c r="AM140">
        <v>0.41199999999999998</v>
      </c>
      <c r="AN140">
        <v>43.32</v>
      </c>
      <c r="AO140">
        <v>14.56</v>
      </c>
      <c r="AP140">
        <v>6.0606060606060608E-2</v>
      </c>
      <c r="AQ140">
        <v>39.770000000000003</v>
      </c>
      <c r="AR140">
        <v>53.98</v>
      </c>
      <c r="AS140">
        <v>6.25</v>
      </c>
    </row>
    <row r="141" spans="1:45" x14ac:dyDescent="0.25">
      <c r="A141" t="s">
        <v>57</v>
      </c>
      <c r="B141">
        <v>3</v>
      </c>
      <c r="C141" t="s">
        <v>58</v>
      </c>
      <c r="D141" t="s">
        <v>59</v>
      </c>
      <c r="E141" t="s">
        <v>63</v>
      </c>
      <c r="F141" t="s">
        <v>64</v>
      </c>
      <c r="G141">
        <v>0</v>
      </c>
      <c r="H141">
        <v>1</v>
      </c>
      <c r="I141">
        <v>0</v>
      </c>
      <c r="J141" t="s">
        <v>194</v>
      </c>
      <c r="K141">
        <v>28.95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2</v>
      </c>
      <c r="R141">
        <v>0</v>
      </c>
      <c r="S141">
        <v>0</v>
      </c>
      <c r="T141">
        <v>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6</v>
      </c>
      <c r="AA141">
        <v>6</v>
      </c>
      <c r="AB141">
        <v>0</v>
      </c>
      <c r="AC141">
        <v>1</v>
      </c>
      <c r="AD141">
        <v>2</v>
      </c>
      <c r="AE141">
        <v>0</v>
      </c>
      <c r="AF141">
        <v>0</v>
      </c>
      <c r="AG141">
        <v>0</v>
      </c>
      <c r="AH141">
        <v>3</v>
      </c>
      <c r="AI141">
        <v>5</v>
      </c>
      <c r="AJ141">
        <v>4</v>
      </c>
      <c r="AK141">
        <v>-1</v>
      </c>
      <c r="AL141">
        <v>5</v>
      </c>
      <c r="AM141">
        <v>0.17271157167530221</v>
      </c>
      <c r="AN141">
        <v>0</v>
      </c>
      <c r="AO141">
        <v>40</v>
      </c>
      <c r="AP141">
        <v>0</v>
      </c>
      <c r="AQ141">
        <v>33.33</v>
      </c>
      <c r="AR141">
        <v>66.67</v>
      </c>
      <c r="AS141">
        <v>0</v>
      </c>
    </row>
    <row r="142" spans="1:45" x14ac:dyDescent="0.25">
      <c r="A142" t="s">
        <v>57</v>
      </c>
      <c r="B142">
        <v>3</v>
      </c>
      <c r="C142" t="s">
        <v>58</v>
      </c>
      <c r="D142" t="s">
        <v>59</v>
      </c>
      <c r="E142" t="s">
        <v>63</v>
      </c>
      <c r="F142" t="s">
        <v>64</v>
      </c>
      <c r="G142">
        <v>0</v>
      </c>
      <c r="H142">
        <v>0</v>
      </c>
      <c r="I142">
        <v>2</v>
      </c>
      <c r="J142" t="s">
        <v>195</v>
      </c>
      <c r="K142">
        <v>1.6166666666666669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-3</v>
      </c>
      <c r="AK142">
        <v>-2</v>
      </c>
      <c r="AL142">
        <v>3</v>
      </c>
      <c r="AM142">
        <v>1.855670103092784</v>
      </c>
      <c r="AN142">
        <v>0</v>
      </c>
      <c r="AO142">
        <v>0</v>
      </c>
      <c r="AP142">
        <v>0</v>
      </c>
      <c r="AQ142">
        <v>33.33</v>
      </c>
      <c r="AR142">
        <v>66.67</v>
      </c>
      <c r="AS142">
        <v>0</v>
      </c>
    </row>
    <row r="143" spans="1:45" x14ac:dyDescent="0.25">
      <c r="A143" t="s">
        <v>57</v>
      </c>
      <c r="B143">
        <v>3</v>
      </c>
      <c r="C143" t="s">
        <v>58</v>
      </c>
      <c r="D143" t="s">
        <v>59</v>
      </c>
      <c r="E143" t="s">
        <v>63</v>
      </c>
      <c r="F143" t="s">
        <v>64</v>
      </c>
      <c r="G143">
        <v>0</v>
      </c>
      <c r="H143">
        <v>1</v>
      </c>
      <c r="I143">
        <v>3</v>
      </c>
      <c r="J143" t="s">
        <v>196</v>
      </c>
      <c r="K143">
        <v>38.733333333333327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9</v>
      </c>
      <c r="R143">
        <v>0</v>
      </c>
      <c r="S143">
        <v>0</v>
      </c>
      <c r="T143">
        <v>11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3</v>
      </c>
      <c r="AA143">
        <v>3</v>
      </c>
      <c r="AB143">
        <v>1</v>
      </c>
      <c r="AC143">
        <v>3</v>
      </c>
      <c r="AD143">
        <v>8</v>
      </c>
      <c r="AE143">
        <v>0</v>
      </c>
      <c r="AF143">
        <v>0</v>
      </c>
      <c r="AG143">
        <v>0</v>
      </c>
      <c r="AH143">
        <v>2</v>
      </c>
      <c r="AI143">
        <v>1</v>
      </c>
      <c r="AJ143">
        <v>-13</v>
      </c>
      <c r="AK143">
        <v>-2</v>
      </c>
      <c r="AL143">
        <v>19</v>
      </c>
      <c r="AM143">
        <v>0.49053356282271943</v>
      </c>
      <c r="AN143">
        <v>0</v>
      </c>
      <c r="AO143">
        <v>42.11</v>
      </c>
      <c r="AP143">
        <v>0</v>
      </c>
      <c r="AQ143">
        <v>18.18</v>
      </c>
      <c r="AR143">
        <v>81.819999999999993</v>
      </c>
      <c r="AS143">
        <v>0</v>
      </c>
    </row>
    <row r="144" spans="1:45" x14ac:dyDescent="0.25">
      <c r="A144" t="s">
        <v>57</v>
      </c>
      <c r="B144">
        <v>3</v>
      </c>
      <c r="C144" t="s">
        <v>58</v>
      </c>
      <c r="D144" t="s">
        <v>59</v>
      </c>
      <c r="E144" t="s">
        <v>63</v>
      </c>
      <c r="F144" t="s">
        <v>64</v>
      </c>
      <c r="G144">
        <v>0</v>
      </c>
      <c r="H144">
        <v>0</v>
      </c>
      <c r="I144">
        <v>7</v>
      </c>
      <c r="J144" t="s">
        <v>197</v>
      </c>
      <c r="K144">
        <v>13.18333333333333</v>
      </c>
      <c r="L144">
        <v>2</v>
      </c>
      <c r="M144">
        <v>1</v>
      </c>
      <c r="N144">
        <v>1</v>
      </c>
      <c r="O144">
        <v>100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100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2</v>
      </c>
      <c r="AB144">
        <v>0</v>
      </c>
      <c r="AC144">
        <v>0</v>
      </c>
      <c r="AD144">
        <v>3</v>
      </c>
      <c r="AE144">
        <v>1</v>
      </c>
      <c r="AF144">
        <v>0</v>
      </c>
      <c r="AG144">
        <v>0</v>
      </c>
      <c r="AH144">
        <v>3</v>
      </c>
      <c r="AI144">
        <v>0</v>
      </c>
      <c r="AJ144">
        <v>-1</v>
      </c>
      <c r="AK144">
        <v>-13</v>
      </c>
      <c r="AL144">
        <v>4</v>
      </c>
      <c r="AM144">
        <v>0.30341340075853351</v>
      </c>
      <c r="AN144">
        <v>100</v>
      </c>
      <c r="AO144">
        <v>75</v>
      </c>
      <c r="AP144">
        <v>0</v>
      </c>
      <c r="AQ144">
        <v>100</v>
      </c>
      <c r="AR144">
        <v>0</v>
      </c>
      <c r="AS144">
        <v>0</v>
      </c>
    </row>
    <row r="145" spans="1:45" x14ac:dyDescent="0.25">
      <c r="A145" t="s">
        <v>57</v>
      </c>
      <c r="B145">
        <v>3</v>
      </c>
      <c r="C145" t="s">
        <v>58</v>
      </c>
      <c r="D145" t="s">
        <v>59</v>
      </c>
      <c r="E145" t="s">
        <v>63</v>
      </c>
      <c r="F145" t="s">
        <v>64</v>
      </c>
      <c r="G145">
        <v>0</v>
      </c>
      <c r="H145">
        <v>1</v>
      </c>
      <c r="I145">
        <v>22</v>
      </c>
      <c r="J145" t="s">
        <v>198</v>
      </c>
      <c r="K145">
        <v>40</v>
      </c>
      <c r="L145">
        <v>15</v>
      </c>
      <c r="M145">
        <v>7</v>
      </c>
      <c r="N145">
        <v>11</v>
      </c>
      <c r="O145">
        <v>63.6</v>
      </c>
      <c r="P145">
        <v>0</v>
      </c>
      <c r="Q145">
        <v>0</v>
      </c>
      <c r="R145">
        <v>0</v>
      </c>
      <c r="S145">
        <v>7</v>
      </c>
      <c r="T145">
        <v>11</v>
      </c>
      <c r="U145">
        <v>63.6</v>
      </c>
      <c r="V145">
        <v>1</v>
      </c>
      <c r="W145">
        <v>2</v>
      </c>
      <c r="X145">
        <v>50</v>
      </c>
      <c r="Y145">
        <v>5</v>
      </c>
      <c r="Z145">
        <v>6</v>
      </c>
      <c r="AA145">
        <v>11</v>
      </c>
      <c r="AB145">
        <v>6</v>
      </c>
      <c r="AC145">
        <v>1</v>
      </c>
      <c r="AD145">
        <v>2</v>
      </c>
      <c r="AE145">
        <v>0</v>
      </c>
      <c r="AF145">
        <v>1</v>
      </c>
      <c r="AG145">
        <v>0</v>
      </c>
      <c r="AH145">
        <v>2</v>
      </c>
      <c r="AI145">
        <v>3</v>
      </c>
      <c r="AJ145">
        <v>27</v>
      </c>
      <c r="AK145">
        <v>-4</v>
      </c>
      <c r="AL145">
        <v>13.88</v>
      </c>
      <c r="AM145">
        <v>0.34699999999999998</v>
      </c>
      <c r="AN145">
        <v>63.13</v>
      </c>
      <c r="AO145">
        <v>14.41</v>
      </c>
      <c r="AP145">
        <v>9.0909090909090912E-2</v>
      </c>
      <c r="AQ145">
        <v>92.59</v>
      </c>
      <c r="AR145">
        <v>0</v>
      </c>
      <c r="AS145">
        <v>7.41</v>
      </c>
    </row>
    <row r="146" spans="1:45" x14ac:dyDescent="0.25">
      <c r="A146" t="s">
        <v>57</v>
      </c>
      <c r="B146">
        <v>3</v>
      </c>
      <c r="C146" t="s">
        <v>58</v>
      </c>
      <c r="D146" t="s">
        <v>59</v>
      </c>
      <c r="E146" t="s">
        <v>63</v>
      </c>
      <c r="F146" t="s">
        <v>64</v>
      </c>
      <c r="G146">
        <v>0</v>
      </c>
      <c r="H146">
        <v>1</v>
      </c>
      <c r="I146">
        <v>24</v>
      </c>
      <c r="J146" t="s">
        <v>199</v>
      </c>
      <c r="K146">
        <v>37.966666666666669</v>
      </c>
      <c r="L146">
        <v>23</v>
      </c>
      <c r="M146">
        <v>4</v>
      </c>
      <c r="N146">
        <v>9</v>
      </c>
      <c r="O146">
        <v>44.4</v>
      </c>
      <c r="P146">
        <v>5</v>
      </c>
      <c r="Q146">
        <v>14</v>
      </c>
      <c r="R146">
        <v>35.700000000000003</v>
      </c>
      <c r="S146">
        <v>9</v>
      </c>
      <c r="T146">
        <v>23</v>
      </c>
      <c r="U146">
        <v>39.1</v>
      </c>
      <c r="V146">
        <v>0</v>
      </c>
      <c r="W146">
        <v>0</v>
      </c>
      <c r="X146">
        <v>0</v>
      </c>
      <c r="Y146">
        <v>2</v>
      </c>
      <c r="Z146">
        <v>4</v>
      </c>
      <c r="AA146">
        <v>6</v>
      </c>
      <c r="AB146">
        <v>4</v>
      </c>
      <c r="AC146">
        <v>5</v>
      </c>
      <c r="AD146">
        <v>1</v>
      </c>
      <c r="AE146">
        <v>0</v>
      </c>
      <c r="AF146">
        <v>0</v>
      </c>
      <c r="AG146">
        <v>0</v>
      </c>
      <c r="AH146">
        <v>1</v>
      </c>
      <c r="AI146">
        <v>2</v>
      </c>
      <c r="AJ146">
        <v>24</v>
      </c>
      <c r="AK146">
        <v>-5</v>
      </c>
      <c r="AL146">
        <v>24</v>
      </c>
      <c r="AM146">
        <v>0.6321334503950834</v>
      </c>
      <c r="AN146">
        <v>50</v>
      </c>
      <c r="AO146">
        <v>4.17</v>
      </c>
      <c r="AP146">
        <v>0</v>
      </c>
      <c r="AQ146">
        <v>39.130000000000003</v>
      </c>
      <c r="AR146">
        <v>60.87</v>
      </c>
      <c r="AS146">
        <v>0</v>
      </c>
    </row>
    <row r="147" spans="1:45" x14ac:dyDescent="0.25">
      <c r="A147" t="s">
        <v>57</v>
      </c>
      <c r="B147">
        <v>3</v>
      </c>
      <c r="C147" t="s">
        <v>58</v>
      </c>
      <c r="D147" t="s">
        <v>59</v>
      </c>
      <c r="E147" t="s">
        <v>63</v>
      </c>
      <c r="F147" t="s">
        <v>64</v>
      </c>
      <c r="G147">
        <v>0</v>
      </c>
      <c r="H147">
        <v>0</v>
      </c>
      <c r="I147">
        <v>29</v>
      </c>
      <c r="J147" t="s">
        <v>200</v>
      </c>
      <c r="K147">
        <v>12.733333333333331</v>
      </c>
      <c r="L147">
        <v>7</v>
      </c>
      <c r="M147">
        <v>0</v>
      </c>
      <c r="N147">
        <v>4</v>
      </c>
      <c r="O147">
        <v>0</v>
      </c>
      <c r="P147">
        <v>2</v>
      </c>
      <c r="Q147">
        <v>2</v>
      </c>
      <c r="R147">
        <v>100</v>
      </c>
      <c r="S147">
        <v>2</v>
      </c>
      <c r="T147">
        <v>6</v>
      </c>
      <c r="U147">
        <v>33.299999999999997</v>
      </c>
      <c r="V147">
        <v>1</v>
      </c>
      <c r="W147">
        <v>2</v>
      </c>
      <c r="X147">
        <v>50</v>
      </c>
      <c r="Y147">
        <v>2</v>
      </c>
      <c r="Z147">
        <v>1</v>
      </c>
      <c r="AA147">
        <v>3</v>
      </c>
      <c r="AB147">
        <v>0</v>
      </c>
      <c r="AC147">
        <v>2</v>
      </c>
      <c r="AD147">
        <v>2</v>
      </c>
      <c r="AE147">
        <v>0</v>
      </c>
      <c r="AF147">
        <v>0</v>
      </c>
      <c r="AG147">
        <v>0</v>
      </c>
      <c r="AH147">
        <v>3</v>
      </c>
      <c r="AI147">
        <v>1</v>
      </c>
      <c r="AJ147">
        <v>3</v>
      </c>
      <c r="AK147">
        <v>-2</v>
      </c>
      <c r="AL147">
        <v>8.879999999999999</v>
      </c>
      <c r="AM147">
        <v>0.69738219895287956</v>
      </c>
      <c r="AN147">
        <v>50.87</v>
      </c>
      <c r="AO147">
        <v>22.52</v>
      </c>
      <c r="AP147">
        <v>0.16666666666666671</v>
      </c>
      <c r="AQ147">
        <v>58.14</v>
      </c>
      <c r="AR147">
        <v>29.07</v>
      </c>
      <c r="AS147">
        <v>12.79</v>
      </c>
    </row>
    <row r="148" spans="1:45" x14ac:dyDescent="0.25">
      <c r="A148" t="s">
        <v>57</v>
      </c>
      <c r="B148">
        <v>3</v>
      </c>
      <c r="C148" t="s">
        <v>58</v>
      </c>
      <c r="D148" t="s">
        <v>59</v>
      </c>
      <c r="E148" t="s">
        <v>63</v>
      </c>
      <c r="F148" t="s">
        <v>64</v>
      </c>
      <c r="G148">
        <v>0</v>
      </c>
      <c r="H148">
        <v>1</v>
      </c>
      <c r="I148">
        <v>35</v>
      </c>
      <c r="J148" t="s">
        <v>201</v>
      </c>
      <c r="K148">
        <v>26.81666666666667</v>
      </c>
      <c r="L148">
        <v>15</v>
      </c>
      <c r="M148">
        <v>7</v>
      </c>
      <c r="N148">
        <v>11</v>
      </c>
      <c r="O148">
        <v>63.6</v>
      </c>
      <c r="P148">
        <v>0</v>
      </c>
      <c r="Q148">
        <v>0</v>
      </c>
      <c r="R148">
        <v>0</v>
      </c>
      <c r="S148">
        <v>7</v>
      </c>
      <c r="T148">
        <v>11</v>
      </c>
      <c r="U148">
        <v>63.6</v>
      </c>
      <c r="V148">
        <v>1</v>
      </c>
      <c r="W148">
        <v>3</v>
      </c>
      <c r="X148">
        <v>33.299999999999997</v>
      </c>
      <c r="Y148">
        <v>4</v>
      </c>
      <c r="Z148">
        <v>7</v>
      </c>
      <c r="AA148">
        <v>11</v>
      </c>
      <c r="AB148">
        <v>4</v>
      </c>
      <c r="AC148">
        <v>1</v>
      </c>
      <c r="AD148">
        <v>5</v>
      </c>
      <c r="AE148">
        <v>1</v>
      </c>
      <c r="AF148">
        <v>0</v>
      </c>
      <c r="AG148">
        <v>0</v>
      </c>
      <c r="AH148">
        <v>5</v>
      </c>
      <c r="AI148">
        <v>3</v>
      </c>
      <c r="AJ148">
        <v>19</v>
      </c>
      <c r="AK148">
        <v>9</v>
      </c>
      <c r="AL148">
        <v>17.32</v>
      </c>
      <c r="AM148">
        <v>0.64586699813548787</v>
      </c>
      <c r="AN148">
        <v>60.88</v>
      </c>
      <c r="AO148">
        <v>28.87</v>
      </c>
      <c r="AP148">
        <v>9.0909090909090912E-2</v>
      </c>
      <c r="AQ148">
        <v>89.29</v>
      </c>
      <c r="AR148">
        <v>0</v>
      </c>
      <c r="AS148">
        <v>10.71</v>
      </c>
    </row>
    <row r="149" spans="1:45" x14ac:dyDescent="0.25">
      <c r="A149" t="s">
        <v>57</v>
      </c>
      <c r="B149">
        <v>3</v>
      </c>
      <c r="C149" t="s">
        <v>58</v>
      </c>
      <c r="D149" t="s">
        <v>59</v>
      </c>
      <c r="E149" t="s">
        <v>63</v>
      </c>
      <c r="F149" t="s">
        <v>64</v>
      </c>
      <c r="G149">
        <v>0</v>
      </c>
      <c r="H149">
        <v>0</v>
      </c>
      <c r="J149" t="s">
        <v>76</v>
      </c>
      <c r="K149">
        <v>200</v>
      </c>
      <c r="L149">
        <v>62</v>
      </c>
      <c r="M149">
        <v>19</v>
      </c>
      <c r="N149">
        <v>40</v>
      </c>
      <c r="O149">
        <v>47.5</v>
      </c>
      <c r="P149">
        <v>7</v>
      </c>
      <c r="Q149">
        <v>29</v>
      </c>
      <c r="R149">
        <v>24.1</v>
      </c>
      <c r="S149">
        <v>26</v>
      </c>
      <c r="T149">
        <v>69</v>
      </c>
      <c r="U149">
        <v>37.700000000000003</v>
      </c>
      <c r="V149">
        <v>3</v>
      </c>
      <c r="W149">
        <v>7</v>
      </c>
      <c r="X149">
        <v>42.9</v>
      </c>
      <c r="Y149">
        <v>13</v>
      </c>
      <c r="Z149">
        <v>29</v>
      </c>
      <c r="AA149">
        <v>42</v>
      </c>
      <c r="AB149">
        <v>15</v>
      </c>
      <c r="AC149">
        <v>13</v>
      </c>
      <c r="AD149">
        <v>23</v>
      </c>
      <c r="AE149">
        <v>2</v>
      </c>
      <c r="AF149">
        <v>1</v>
      </c>
      <c r="AG149">
        <v>0</v>
      </c>
      <c r="AH149">
        <v>19</v>
      </c>
      <c r="AI149">
        <v>15</v>
      </c>
      <c r="AJ149">
        <v>60</v>
      </c>
      <c r="AL149">
        <v>95.08</v>
      </c>
      <c r="AM149">
        <v>0.47539999999999999</v>
      </c>
      <c r="AN149">
        <v>43.01</v>
      </c>
      <c r="AO149">
        <v>24.19</v>
      </c>
      <c r="AP149">
        <v>4.3478260869565223E-2</v>
      </c>
      <c r="AQ149">
        <v>55.49</v>
      </c>
      <c r="AR149">
        <v>40.229999999999997</v>
      </c>
      <c r="AS149">
        <v>4.2699999999999996</v>
      </c>
    </row>
    <row r="150" spans="1:45" x14ac:dyDescent="0.25">
      <c r="A150" t="s">
        <v>58</v>
      </c>
      <c r="B150">
        <v>3</v>
      </c>
      <c r="C150" t="s">
        <v>57</v>
      </c>
      <c r="D150" t="s">
        <v>59</v>
      </c>
      <c r="E150" t="s">
        <v>63</v>
      </c>
      <c r="F150" t="s">
        <v>65</v>
      </c>
      <c r="G150">
        <v>1</v>
      </c>
      <c r="H150">
        <v>1</v>
      </c>
      <c r="I150">
        <v>1</v>
      </c>
      <c r="J150" t="s">
        <v>202</v>
      </c>
      <c r="K150">
        <v>32.766666666666673</v>
      </c>
      <c r="L150">
        <v>12</v>
      </c>
      <c r="M150">
        <v>3</v>
      </c>
      <c r="N150">
        <v>10</v>
      </c>
      <c r="O150">
        <v>30</v>
      </c>
      <c r="P150">
        <v>0</v>
      </c>
      <c r="Q150">
        <v>2</v>
      </c>
      <c r="R150">
        <v>0</v>
      </c>
      <c r="S150">
        <v>3</v>
      </c>
      <c r="T150">
        <v>12</v>
      </c>
      <c r="U150">
        <v>25</v>
      </c>
      <c r="V150">
        <v>6</v>
      </c>
      <c r="W150">
        <v>6</v>
      </c>
      <c r="X150">
        <v>100</v>
      </c>
      <c r="Y150">
        <v>7</v>
      </c>
      <c r="Z150">
        <v>6</v>
      </c>
      <c r="AA150">
        <v>13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2</v>
      </c>
      <c r="AI150">
        <v>3</v>
      </c>
      <c r="AJ150">
        <v>18</v>
      </c>
      <c r="AK150">
        <v>6</v>
      </c>
      <c r="AL150">
        <v>14.64</v>
      </c>
      <c r="AM150">
        <v>0.44679552390640898</v>
      </c>
      <c r="AN150">
        <v>40.98</v>
      </c>
      <c r="AO150">
        <v>0</v>
      </c>
      <c r="AP150">
        <v>0.5</v>
      </c>
      <c r="AQ150">
        <v>68.31</v>
      </c>
      <c r="AR150">
        <v>13.66</v>
      </c>
      <c r="AS150">
        <v>18.03</v>
      </c>
    </row>
    <row r="151" spans="1:45" x14ac:dyDescent="0.25">
      <c r="A151" t="s">
        <v>58</v>
      </c>
      <c r="B151">
        <v>3</v>
      </c>
      <c r="C151" t="s">
        <v>57</v>
      </c>
      <c r="D151" t="s">
        <v>59</v>
      </c>
      <c r="E151" t="s">
        <v>63</v>
      </c>
      <c r="F151" t="s">
        <v>65</v>
      </c>
      <c r="G151">
        <v>1</v>
      </c>
      <c r="H151">
        <v>0</v>
      </c>
      <c r="I151">
        <v>2</v>
      </c>
      <c r="J151" t="s">
        <v>203</v>
      </c>
      <c r="K151">
        <v>24.416666666666671</v>
      </c>
      <c r="L151">
        <v>9</v>
      </c>
      <c r="M151">
        <v>4</v>
      </c>
      <c r="N151">
        <v>4</v>
      </c>
      <c r="O151">
        <v>100</v>
      </c>
      <c r="P151">
        <v>0</v>
      </c>
      <c r="Q151">
        <v>0</v>
      </c>
      <c r="R151">
        <v>0</v>
      </c>
      <c r="S151">
        <v>4</v>
      </c>
      <c r="T151">
        <v>4</v>
      </c>
      <c r="U151">
        <v>100</v>
      </c>
      <c r="V151">
        <v>1</v>
      </c>
      <c r="W151">
        <v>2</v>
      </c>
      <c r="X151">
        <v>50</v>
      </c>
      <c r="Y151">
        <v>0</v>
      </c>
      <c r="Z151">
        <v>8</v>
      </c>
      <c r="AA151">
        <v>8</v>
      </c>
      <c r="AB151">
        <v>2</v>
      </c>
      <c r="AC151">
        <v>2</v>
      </c>
      <c r="AD151">
        <v>4</v>
      </c>
      <c r="AE151">
        <v>0</v>
      </c>
      <c r="AF151">
        <v>0</v>
      </c>
      <c r="AG151">
        <v>0</v>
      </c>
      <c r="AH151">
        <v>2</v>
      </c>
      <c r="AI151">
        <v>6</v>
      </c>
      <c r="AJ151">
        <v>20</v>
      </c>
      <c r="AK151">
        <v>13</v>
      </c>
      <c r="AL151">
        <v>8.879999999999999</v>
      </c>
      <c r="AM151">
        <v>0.36368600682593849</v>
      </c>
      <c r="AN151">
        <v>92.21</v>
      </c>
      <c r="AO151">
        <v>45.05</v>
      </c>
      <c r="AP151">
        <v>0.25</v>
      </c>
      <c r="AQ151">
        <v>81.97</v>
      </c>
      <c r="AR151">
        <v>0</v>
      </c>
      <c r="AS151">
        <v>18.03</v>
      </c>
    </row>
    <row r="152" spans="1:45" x14ac:dyDescent="0.25">
      <c r="A152" t="s">
        <v>58</v>
      </c>
      <c r="B152">
        <v>3</v>
      </c>
      <c r="C152" t="s">
        <v>57</v>
      </c>
      <c r="D152" t="s">
        <v>59</v>
      </c>
      <c r="E152" t="s">
        <v>63</v>
      </c>
      <c r="F152" t="s">
        <v>65</v>
      </c>
      <c r="G152">
        <v>1</v>
      </c>
      <c r="H152">
        <v>1</v>
      </c>
      <c r="I152">
        <v>4</v>
      </c>
      <c r="J152" t="s">
        <v>204</v>
      </c>
      <c r="K152">
        <v>24.93333333333333</v>
      </c>
      <c r="L152">
        <v>14</v>
      </c>
      <c r="M152">
        <v>3</v>
      </c>
      <c r="N152">
        <v>5</v>
      </c>
      <c r="O152">
        <v>60</v>
      </c>
      <c r="P152">
        <v>2</v>
      </c>
      <c r="Q152">
        <v>9</v>
      </c>
      <c r="R152">
        <v>22.2</v>
      </c>
      <c r="S152">
        <v>5</v>
      </c>
      <c r="T152">
        <v>14</v>
      </c>
      <c r="U152">
        <v>35.700000000000003</v>
      </c>
      <c r="V152">
        <v>2</v>
      </c>
      <c r="W152">
        <v>2</v>
      </c>
      <c r="X152">
        <v>100</v>
      </c>
      <c r="Y152">
        <v>2</v>
      </c>
      <c r="Z152">
        <v>3</v>
      </c>
      <c r="AA152">
        <v>5</v>
      </c>
      <c r="AB152">
        <v>0</v>
      </c>
      <c r="AC152">
        <v>3</v>
      </c>
      <c r="AD152">
        <v>3</v>
      </c>
      <c r="AE152">
        <v>0</v>
      </c>
      <c r="AF152">
        <v>0</v>
      </c>
      <c r="AG152">
        <v>0</v>
      </c>
      <c r="AH152">
        <v>0</v>
      </c>
      <c r="AI152">
        <v>2</v>
      </c>
      <c r="AJ152">
        <v>12</v>
      </c>
      <c r="AK152">
        <v>-10</v>
      </c>
      <c r="AL152">
        <v>17.88</v>
      </c>
      <c r="AM152">
        <v>0.71711229946524069</v>
      </c>
      <c r="AN152">
        <v>47.04</v>
      </c>
      <c r="AO152">
        <v>16.78</v>
      </c>
      <c r="AP152">
        <v>0.14285714285714279</v>
      </c>
      <c r="AQ152">
        <v>33.6</v>
      </c>
      <c r="AR152">
        <v>60.48</v>
      </c>
      <c r="AS152">
        <v>5.91</v>
      </c>
    </row>
    <row r="153" spans="1:45" x14ac:dyDescent="0.25">
      <c r="A153" t="s">
        <v>58</v>
      </c>
      <c r="B153">
        <v>3</v>
      </c>
      <c r="C153" t="s">
        <v>57</v>
      </c>
      <c r="D153" t="s">
        <v>59</v>
      </c>
      <c r="E153" t="s">
        <v>63</v>
      </c>
      <c r="F153" t="s">
        <v>65</v>
      </c>
      <c r="G153">
        <v>1</v>
      </c>
      <c r="H153">
        <v>1</v>
      </c>
      <c r="I153">
        <v>7</v>
      </c>
      <c r="J153" t="s">
        <v>205</v>
      </c>
      <c r="K153">
        <v>22.216666666666669</v>
      </c>
      <c r="L153">
        <v>3</v>
      </c>
      <c r="M153">
        <v>0</v>
      </c>
      <c r="N153">
        <v>3</v>
      </c>
      <c r="O153">
        <v>0</v>
      </c>
      <c r="P153">
        <v>1</v>
      </c>
      <c r="Q153">
        <v>5</v>
      </c>
      <c r="R153">
        <v>20</v>
      </c>
      <c r="S153">
        <v>1</v>
      </c>
      <c r="T153">
        <v>8</v>
      </c>
      <c r="U153">
        <v>12.5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1</v>
      </c>
      <c r="AB153">
        <v>1</v>
      </c>
      <c r="AC153">
        <v>3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-4</v>
      </c>
      <c r="AK153">
        <v>-4</v>
      </c>
      <c r="AL153">
        <v>12</v>
      </c>
      <c r="AM153">
        <v>0.54013503375843963</v>
      </c>
      <c r="AN153">
        <v>18.75</v>
      </c>
      <c r="AO153">
        <v>33.33</v>
      </c>
      <c r="AP153">
        <v>0</v>
      </c>
      <c r="AQ153">
        <v>37.5</v>
      </c>
      <c r="AR153">
        <v>62.5</v>
      </c>
      <c r="AS153">
        <v>0</v>
      </c>
    </row>
    <row r="154" spans="1:45" x14ac:dyDescent="0.25">
      <c r="A154" t="s">
        <v>58</v>
      </c>
      <c r="B154">
        <v>3</v>
      </c>
      <c r="C154" t="s">
        <v>57</v>
      </c>
      <c r="D154" t="s">
        <v>59</v>
      </c>
      <c r="E154" t="s">
        <v>63</v>
      </c>
      <c r="F154" t="s">
        <v>65</v>
      </c>
      <c r="G154">
        <v>1</v>
      </c>
      <c r="H154">
        <v>0</v>
      </c>
      <c r="I154">
        <v>9</v>
      </c>
      <c r="J154" t="s">
        <v>206</v>
      </c>
      <c r="K154">
        <v>20.466666666666669</v>
      </c>
      <c r="L154">
        <v>11</v>
      </c>
      <c r="M154">
        <v>5</v>
      </c>
      <c r="N154">
        <v>9</v>
      </c>
      <c r="O154">
        <v>55.6</v>
      </c>
      <c r="P154">
        <v>0</v>
      </c>
      <c r="Q154">
        <v>0</v>
      </c>
      <c r="R154">
        <v>0</v>
      </c>
      <c r="S154">
        <v>5</v>
      </c>
      <c r="T154">
        <v>9</v>
      </c>
      <c r="U154">
        <v>55.6</v>
      </c>
      <c r="V154">
        <v>1</v>
      </c>
      <c r="W154">
        <v>2</v>
      </c>
      <c r="X154">
        <v>50</v>
      </c>
      <c r="Y154">
        <v>3</v>
      </c>
      <c r="Z154">
        <v>4</v>
      </c>
      <c r="AA154">
        <v>7</v>
      </c>
      <c r="AB154">
        <v>3</v>
      </c>
      <c r="AC154">
        <v>1</v>
      </c>
      <c r="AD154">
        <v>4</v>
      </c>
      <c r="AE154">
        <v>1</v>
      </c>
      <c r="AF154">
        <v>0</v>
      </c>
      <c r="AG154">
        <v>0</v>
      </c>
      <c r="AH154">
        <v>1</v>
      </c>
      <c r="AI154">
        <v>2</v>
      </c>
      <c r="AJ154">
        <v>15</v>
      </c>
      <c r="AK154">
        <v>9</v>
      </c>
      <c r="AL154">
        <v>13.88</v>
      </c>
      <c r="AM154">
        <v>0.67817589576547244</v>
      </c>
      <c r="AN154">
        <v>55.67</v>
      </c>
      <c r="AO154">
        <v>28.82</v>
      </c>
      <c r="AP154">
        <v>0.1111111111111111</v>
      </c>
      <c r="AQ154">
        <v>91.09</v>
      </c>
      <c r="AR154">
        <v>0</v>
      </c>
      <c r="AS154">
        <v>8.91</v>
      </c>
    </row>
    <row r="155" spans="1:45" x14ac:dyDescent="0.25">
      <c r="A155" t="s">
        <v>58</v>
      </c>
      <c r="B155">
        <v>3</v>
      </c>
      <c r="C155" t="s">
        <v>57</v>
      </c>
      <c r="D155" t="s">
        <v>59</v>
      </c>
      <c r="E155" t="s">
        <v>63</v>
      </c>
      <c r="F155" t="s">
        <v>65</v>
      </c>
      <c r="G155">
        <v>1</v>
      </c>
      <c r="H155">
        <v>0</v>
      </c>
      <c r="I155">
        <v>13</v>
      </c>
      <c r="J155" t="s">
        <v>207</v>
      </c>
      <c r="K155">
        <v>13.5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</v>
      </c>
      <c r="AA155">
        <v>3</v>
      </c>
      <c r="AB155">
        <v>2</v>
      </c>
      <c r="AC155">
        <v>2</v>
      </c>
      <c r="AD155">
        <v>1</v>
      </c>
      <c r="AE155">
        <v>0</v>
      </c>
      <c r="AF155">
        <v>0</v>
      </c>
      <c r="AG155">
        <v>0</v>
      </c>
      <c r="AH155">
        <v>2</v>
      </c>
      <c r="AI155">
        <v>0</v>
      </c>
      <c r="AJ155">
        <v>1</v>
      </c>
      <c r="AK155">
        <v>-8</v>
      </c>
      <c r="AL155">
        <v>4</v>
      </c>
      <c r="AM155">
        <v>0.29629629629629628</v>
      </c>
      <c r="AN155">
        <v>0</v>
      </c>
      <c r="AO155">
        <v>25</v>
      </c>
      <c r="AP155">
        <v>0</v>
      </c>
      <c r="AQ155">
        <v>33.33</v>
      </c>
      <c r="AR155">
        <v>66.67</v>
      </c>
      <c r="AS155">
        <v>0</v>
      </c>
    </row>
    <row r="156" spans="1:45" x14ac:dyDescent="0.25">
      <c r="A156" t="s">
        <v>58</v>
      </c>
      <c r="B156">
        <v>3</v>
      </c>
      <c r="C156" t="s">
        <v>57</v>
      </c>
      <c r="D156" t="s">
        <v>59</v>
      </c>
      <c r="E156" t="s">
        <v>63</v>
      </c>
      <c r="F156" t="s">
        <v>65</v>
      </c>
      <c r="G156">
        <v>1</v>
      </c>
      <c r="H156">
        <v>1</v>
      </c>
      <c r="I156">
        <v>15</v>
      </c>
      <c r="J156" t="s">
        <v>208</v>
      </c>
      <c r="K156">
        <v>24.283333333333331</v>
      </c>
      <c r="L156">
        <v>14</v>
      </c>
      <c r="M156">
        <v>4</v>
      </c>
      <c r="N156">
        <v>10</v>
      </c>
      <c r="O156">
        <v>40</v>
      </c>
      <c r="P156">
        <v>1</v>
      </c>
      <c r="Q156">
        <v>3</v>
      </c>
      <c r="R156">
        <v>33.299999999999997</v>
      </c>
      <c r="S156">
        <v>5</v>
      </c>
      <c r="T156">
        <v>13</v>
      </c>
      <c r="U156">
        <v>38.5</v>
      </c>
      <c r="V156">
        <v>3</v>
      </c>
      <c r="W156">
        <v>4</v>
      </c>
      <c r="X156">
        <v>75</v>
      </c>
      <c r="Y156">
        <v>1</v>
      </c>
      <c r="Z156">
        <v>1</v>
      </c>
      <c r="AA156">
        <v>2</v>
      </c>
      <c r="AB156">
        <v>2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2</v>
      </c>
      <c r="AI156">
        <v>4</v>
      </c>
      <c r="AJ156">
        <v>11</v>
      </c>
      <c r="AK156">
        <v>10</v>
      </c>
      <c r="AL156">
        <v>15.76</v>
      </c>
      <c r="AM156">
        <v>0.64900480439258745</v>
      </c>
      <c r="AN156">
        <v>47.43</v>
      </c>
      <c r="AO156">
        <v>6.35</v>
      </c>
      <c r="AP156">
        <v>0.23076923076923081</v>
      </c>
      <c r="AQ156">
        <v>67.75</v>
      </c>
      <c r="AR156">
        <v>20.329999999999998</v>
      </c>
      <c r="AS156">
        <v>11.92</v>
      </c>
    </row>
    <row r="157" spans="1:45" x14ac:dyDescent="0.25">
      <c r="A157" t="s">
        <v>58</v>
      </c>
      <c r="B157">
        <v>3</v>
      </c>
      <c r="C157" t="s">
        <v>57</v>
      </c>
      <c r="D157" t="s">
        <v>59</v>
      </c>
      <c r="E157" t="s">
        <v>63</v>
      </c>
      <c r="F157" t="s">
        <v>65</v>
      </c>
      <c r="G157">
        <v>1</v>
      </c>
      <c r="H157">
        <v>1</v>
      </c>
      <c r="I157">
        <v>19</v>
      </c>
      <c r="J157" t="s">
        <v>209</v>
      </c>
      <c r="K157">
        <v>32.866666666666667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3</v>
      </c>
      <c r="R157">
        <v>0</v>
      </c>
      <c r="S157">
        <v>0</v>
      </c>
      <c r="T157">
        <v>4</v>
      </c>
      <c r="U157">
        <v>0</v>
      </c>
      <c r="V157">
        <v>0</v>
      </c>
      <c r="W157">
        <v>2</v>
      </c>
      <c r="X157">
        <v>0</v>
      </c>
      <c r="Y157">
        <v>1</v>
      </c>
      <c r="Z157">
        <v>3</v>
      </c>
      <c r="AA157">
        <v>4</v>
      </c>
      <c r="AB157">
        <v>4</v>
      </c>
      <c r="AC157">
        <v>2</v>
      </c>
      <c r="AD157">
        <v>0</v>
      </c>
      <c r="AE157">
        <v>0</v>
      </c>
      <c r="AF157">
        <v>1</v>
      </c>
      <c r="AG157">
        <v>0</v>
      </c>
      <c r="AH157">
        <v>4</v>
      </c>
      <c r="AI157">
        <v>2</v>
      </c>
      <c r="AJ157">
        <v>2</v>
      </c>
      <c r="AK157">
        <v>7</v>
      </c>
      <c r="AL157">
        <v>4.88</v>
      </c>
      <c r="AM157">
        <v>0.14847870182555781</v>
      </c>
      <c r="AN157">
        <v>0</v>
      </c>
      <c r="AO157">
        <v>0</v>
      </c>
      <c r="AP157">
        <v>0</v>
      </c>
      <c r="AQ157">
        <v>20.49</v>
      </c>
      <c r="AR157">
        <v>61.48</v>
      </c>
      <c r="AS157">
        <v>18.03</v>
      </c>
    </row>
    <row r="158" spans="1:45" x14ac:dyDescent="0.25">
      <c r="A158" t="s">
        <v>58</v>
      </c>
      <c r="B158">
        <v>3</v>
      </c>
      <c r="C158" t="s">
        <v>57</v>
      </c>
      <c r="D158" t="s">
        <v>59</v>
      </c>
      <c r="E158" t="s">
        <v>63</v>
      </c>
      <c r="F158" t="s">
        <v>65</v>
      </c>
      <c r="G158">
        <v>1</v>
      </c>
      <c r="H158">
        <v>0</v>
      </c>
      <c r="I158">
        <v>98</v>
      </c>
      <c r="J158" t="s">
        <v>210</v>
      </c>
      <c r="K158">
        <v>4.55</v>
      </c>
      <c r="L158">
        <v>3</v>
      </c>
      <c r="M158">
        <v>0</v>
      </c>
      <c r="N158">
        <v>0</v>
      </c>
      <c r="O158">
        <v>0</v>
      </c>
      <c r="P158">
        <v>1</v>
      </c>
      <c r="Q158">
        <v>2</v>
      </c>
      <c r="R158">
        <v>50</v>
      </c>
      <c r="S158">
        <v>1</v>
      </c>
      <c r="T158">
        <v>2</v>
      </c>
      <c r="U158">
        <v>50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-3</v>
      </c>
      <c r="AL158">
        <v>3</v>
      </c>
      <c r="AM158">
        <v>0.65934065934065933</v>
      </c>
      <c r="AN158">
        <v>75</v>
      </c>
      <c r="AO158">
        <v>33.33</v>
      </c>
      <c r="AP158">
        <v>0</v>
      </c>
      <c r="AQ158">
        <v>0</v>
      </c>
      <c r="AR158">
        <v>100</v>
      </c>
      <c r="AS158">
        <v>0</v>
      </c>
    </row>
    <row r="159" spans="1:45" x14ac:dyDescent="0.25">
      <c r="A159" t="s">
        <v>58</v>
      </c>
      <c r="B159">
        <v>3</v>
      </c>
      <c r="C159" t="s">
        <v>57</v>
      </c>
      <c r="D159" t="s">
        <v>59</v>
      </c>
      <c r="E159" t="s">
        <v>63</v>
      </c>
      <c r="F159" t="s">
        <v>65</v>
      </c>
      <c r="G159">
        <v>1</v>
      </c>
      <c r="H159">
        <v>0</v>
      </c>
      <c r="J159" t="s">
        <v>76</v>
      </c>
      <c r="K159">
        <v>200</v>
      </c>
      <c r="L159">
        <v>66</v>
      </c>
      <c r="M159">
        <v>19</v>
      </c>
      <c r="N159">
        <v>43</v>
      </c>
      <c r="O159">
        <v>44.2</v>
      </c>
      <c r="P159">
        <v>5</v>
      </c>
      <c r="Q159">
        <v>26</v>
      </c>
      <c r="R159">
        <v>19.2</v>
      </c>
      <c r="S159">
        <v>24</v>
      </c>
      <c r="T159">
        <v>69</v>
      </c>
      <c r="U159">
        <v>34.799999999999997</v>
      </c>
      <c r="V159">
        <v>13</v>
      </c>
      <c r="W159">
        <v>18</v>
      </c>
      <c r="X159">
        <v>72.2</v>
      </c>
      <c r="Y159">
        <v>15</v>
      </c>
      <c r="Z159">
        <v>28</v>
      </c>
      <c r="AA159">
        <v>43</v>
      </c>
      <c r="AB159">
        <v>15</v>
      </c>
      <c r="AC159">
        <v>14</v>
      </c>
      <c r="AD159">
        <v>18</v>
      </c>
      <c r="AE159">
        <v>1</v>
      </c>
      <c r="AF159">
        <v>2</v>
      </c>
      <c r="AG159">
        <v>0</v>
      </c>
      <c r="AH159">
        <v>15</v>
      </c>
      <c r="AI159">
        <v>19</v>
      </c>
      <c r="AJ159">
        <v>75</v>
      </c>
      <c r="AL159">
        <v>94.92</v>
      </c>
      <c r="AM159">
        <v>0.47460000000000002</v>
      </c>
      <c r="AN159">
        <v>42.9</v>
      </c>
      <c r="AO159">
        <v>18.96</v>
      </c>
      <c r="AP159">
        <v>0.18840579710144931</v>
      </c>
      <c r="AQ159">
        <v>55.9</v>
      </c>
      <c r="AR159">
        <v>33.799999999999997</v>
      </c>
      <c r="AS159">
        <v>10.3</v>
      </c>
    </row>
  </sheetData>
  <autoFilter ref="A1:AT15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25DC-8E1F-4200-802D-7E32BD6CB6CE}">
  <dimension ref="A1:AS3"/>
  <sheetViews>
    <sheetView workbookViewId="0">
      <selection activeCell="L11" sqref="L11"/>
    </sheetView>
  </sheetViews>
  <sheetFormatPr baseColWidth="10" defaultRowHeight="15" x14ac:dyDescent="0.25"/>
  <cols>
    <col min="1" max="1" width="17.28515625" customWidth="1"/>
    <col min="2" max="11" width="0" hidden="1" customWidth="1"/>
    <col min="12" max="36" width="7.140625" customWidth="1"/>
    <col min="37" max="37" width="7.140625" hidden="1" customWidth="1"/>
    <col min="38" max="38" width="7.140625" customWidth="1"/>
    <col min="39" max="39" width="7.140625" hidden="1" customWidth="1"/>
    <col min="40" max="42" width="7.140625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47</v>
      </c>
      <c r="B2">
        <v>3</v>
      </c>
      <c r="C2" t="s">
        <v>48</v>
      </c>
      <c r="D2" t="s">
        <v>59</v>
      </c>
      <c r="E2" t="s">
        <v>60</v>
      </c>
      <c r="F2" t="s">
        <v>64</v>
      </c>
      <c r="G2">
        <v>1</v>
      </c>
      <c r="H2">
        <v>0</v>
      </c>
      <c r="J2" t="s">
        <v>76</v>
      </c>
      <c r="K2">
        <v>200</v>
      </c>
      <c r="L2">
        <v>72</v>
      </c>
      <c r="M2">
        <v>20</v>
      </c>
      <c r="N2">
        <v>40</v>
      </c>
      <c r="O2" s="2">
        <f>M2/N2</f>
        <v>0.5</v>
      </c>
      <c r="P2">
        <v>6</v>
      </c>
      <c r="Q2">
        <v>17</v>
      </c>
      <c r="R2" s="2">
        <f>P2/Q2</f>
        <v>0.35294117647058826</v>
      </c>
      <c r="S2">
        <v>26</v>
      </c>
      <c r="T2">
        <v>57</v>
      </c>
      <c r="U2" s="2">
        <f>S2/T2</f>
        <v>0.45614035087719296</v>
      </c>
      <c r="V2">
        <v>14</v>
      </c>
      <c r="W2">
        <v>22</v>
      </c>
      <c r="X2" s="2">
        <f>V2/W2</f>
        <v>0.63636363636363635</v>
      </c>
      <c r="Y2">
        <v>12</v>
      </c>
      <c r="Z2">
        <v>32</v>
      </c>
      <c r="AA2">
        <v>44</v>
      </c>
      <c r="AB2">
        <v>12</v>
      </c>
      <c r="AC2">
        <v>11</v>
      </c>
      <c r="AD2">
        <v>20</v>
      </c>
      <c r="AE2">
        <v>0</v>
      </c>
      <c r="AF2">
        <v>0</v>
      </c>
      <c r="AG2">
        <v>0</v>
      </c>
      <c r="AH2">
        <v>18</v>
      </c>
      <c r="AI2">
        <v>24</v>
      </c>
      <c r="AJ2">
        <v>86</v>
      </c>
      <c r="AL2">
        <v>86.68</v>
      </c>
      <c r="AM2">
        <v>0.43340000000000001</v>
      </c>
      <c r="AN2" s="2">
        <f>53.99/100</f>
        <v>0.53990000000000005</v>
      </c>
      <c r="AO2" s="2">
        <f>23.07/100</f>
        <v>0.23070000000000002</v>
      </c>
      <c r="AP2">
        <v>0.24561403508771931</v>
      </c>
      <c r="AQ2">
        <v>59.99</v>
      </c>
      <c r="AR2">
        <v>25.49</v>
      </c>
      <c r="AS2">
        <v>14.52</v>
      </c>
    </row>
    <row r="3" spans="1:45" x14ac:dyDescent="0.25">
      <c r="A3" t="s">
        <v>48</v>
      </c>
      <c r="B3">
        <v>3</v>
      </c>
      <c r="C3" t="s">
        <v>47</v>
      </c>
      <c r="D3" t="s">
        <v>59</v>
      </c>
      <c r="E3" t="s">
        <v>60</v>
      </c>
      <c r="F3" t="s">
        <v>65</v>
      </c>
      <c r="G3">
        <v>0</v>
      </c>
      <c r="H3">
        <v>0</v>
      </c>
      <c r="J3" t="s">
        <v>76</v>
      </c>
      <c r="K3">
        <v>200</v>
      </c>
      <c r="L3">
        <v>41</v>
      </c>
      <c r="M3">
        <v>12</v>
      </c>
      <c r="N3">
        <v>34</v>
      </c>
      <c r="O3" s="2">
        <f>M3/N3</f>
        <v>0.35294117647058826</v>
      </c>
      <c r="P3">
        <v>4</v>
      </c>
      <c r="Q3">
        <v>22</v>
      </c>
      <c r="R3" s="2">
        <f>P3/Q3</f>
        <v>0.18181818181818182</v>
      </c>
      <c r="S3">
        <v>16</v>
      </c>
      <c r="T3">
        <v>56</v>
      </c>
      <c r="U3" s="2">
        <f>S3/T3</f>
        <v>0.2857142857142857</v>
      </c>
      <c r="V3">
        <v>5</v>
      </c>
      <c r="W3">
        <v>14</v>
      </c>
      <c r="X3" s="2">
        <f>V3/W3</f>
        <v>0.35714285714285715</v>
      </c>
      <c r="Y3">
        <v>7</v>
      </c>
      <c r="Z3">
        <v>17</v>
      </c>
      <c r="AA3">
        <v>24</v>
      </c>
      <c r="AB3">
        <v>8</v>
      </c>
      <c r="AC3">
        <v>13</v>
      </c>
      <c r="AD3">
        <v>19</v>
      </c>
      <c r="AE3">
        <v>0</v>
      </c>
      <c r="AF3">
        <v>0</v>
      </c>
      <c r="AG3">
        <v>0</v>
      </c>
      <c r="AH3">
        <v>24</v>
      </c>
      <c r="AI3">
        <v>18</v>
      </c>
      <c r="AJ3">
        <v>12</v>
      </c>
      <c r="AL3">
        <v>81.16</v>
      </c>
      <c r="AM3">
        <v>0.40579999999999999</v>
      </c>
      <c r="AN3" s="2">
        <f>32.98/100</f>
        <v>0.32979999999999998</v>
      </c>
      <c r="AO3" s="2">
        <f>23.41/100</f>
        <v>0.2341</v>
      </c>
      <c r="AP3">
        <v>8.9285714285714288E-2</v>
      </c>
      <c r="AQ3">
        <v>54.7</v>
      </c>
      <c r="AR3">
        <v>35.39</v>
      </c>
      <c r="AS3">
        <v>9.91</v>
      </c>
    </row>
  </sheetData>
  <conditionalFormatting sqref="L2:L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:AD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:AH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:AI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:AJ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L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:AN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FERRER, ANNA (DIR.ECO.GES)</cp:lastModifiedBy>
  <dcterms:created xsi:type="dcterms:W3CDTF">2025-10-20T15:27:47Z</dcterms:created>
  <dcterms:modified xsi:type="dcterms:W3CDTF">2026-04-15T11:36:41Z</dcterms:modified>
</cp:coreProperties>
</file>